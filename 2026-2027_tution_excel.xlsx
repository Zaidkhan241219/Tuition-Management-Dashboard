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hidePivotFieldList="1" defaultThemeVersion="166925"/>
  <mc:AlternateContent xmlns:mc="http://schemas.openxmlformats.org/markup-compatibility/2006">
    <mc:Choice Requires="x15">
      <x15ac:absPath xmlns:x15ac="http://schemas.microsoft.com/office/spreadsheetml/2010/11/ac" url="D:\MY_PROJECTS---\"/>
    </mc:Choice>
  </mc:AlternateContent>
  <xr:revisionPtr revIDLastSave="0" documentId="13_ncr:1_{9395A33D-DCEC-4858-A62B-16E60A426A2B}" xr6:coauthVersionLast="47" xr6:coauthVersionMax="47" xr10:uidLastSave="{00000000-0000-0000-0000-000000000000}"/>
  <bookViews>
    <workbookView xWindow="-120" yWindow="-120" windowWidth="20730" windowHeight="11160" tabRatio="883" activeTab="1" xr2:uid="{EA64ADE6-4C41-4A27-A0C6-C3A43BF7F868}"/>
  </bookViews>
  <sheets>
    <sheet name="Home Page" sheetId="16" r:id="rId1"/>
    <sheet name="Dashboard_1" sheetId="11" r:id="rId2"/>
    <sheet name="Dashboard_2" sheetId="10" r:id="rId3"/>
    <sheet name="Dashboard_3" sheetId="12" r:id="rId4"/>
    <sheet name="Graph Visualization" sheetId="9" r:id="rId5"/>
    <sheet name="All Names" sheetId="1" r:id="rId6"/>
    <sheet name="Regular Fees " sheetId="2" r:id="rId7"/>
    <sheet name="Montly Fees Received" sheetId="6" r:id="rId8"/>
    <sheet name="Yearly Fees" sheetId="5" r:id="rId9"/>
    <sheet name="Maths Test" sheetId="7" r:id="rId10"/>
    <sheet name="Maths Test Summary " sheetId="4" r:id="rId11"/>
    <sheet name="10th std syllabus" sheetId="3" r:id="rId12"/>
    <sheet name="Time Table " sheetId="8" r:id="rId13"/>
    <sheet name="All_Pivot_Table" sheetId="15" r:id="rId14"/>
  </sheets>
  <definedNames>
    <definedName name="_xlnm._FilterDatabase" localSheetId="11" hidden="1">'10th std syllabus'!$K$9:$M$29</definedName>
    <definedName name="Slicer_JULY">#N/A</definedName>
    <definedName name="Slicer_MONTHLY_FEES">#N/A</definedName>
    <definedName name="Slicer_STANDARD">#N/A</definedName>
    <definedName name="Slicer_STATUS">#N/A</definedName>
  </definedNames>
  <calcPr calcId="191028"/>
  <pivotCaches>
    <pivotCache cacheId="2" r:id="rId15"/>
    <pivotCache cacheId="3"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6" i="5" l="1"/>
  <c r="C45" i="5"/>
  <c r="C39" i="5"/>
  <c r="C38" i="5"/>
  <c r="C31" i="5"/>
  <c r="C32" i="5"/>
  <c r="C30" i="5"/>
  <c r="C24" i="5"/>
  <c r="C18" i="5"/>
  <c r="C17" i="5"/>
  <c r="C8" i="5"/>
  <c r="C9" i="5"/>
  <c r="C10" i="5"/>
  <c r="C11" i="5"/>
  <c r="C7" i="5"/>
  <c r="B9" i="1"/>
  <c r="B10" i="1"/>
  <c r="B11" i="1"/>
  <c r="B12" i="1"/>
  <c r="B11" i="2" s="1"/>
  <c r="B13" i="1"/>
  <c r="B14" i="1"/>
  <c r="B15" i="1"/>
  <c r="B16" i="1"/>
  <c r="B15" i="2" s="1"/>
  <c r="B17" i="1"/>
  <c r="B18" i="1"/>
  <c r="B19" i="1"/>
  <c r="B20" i="1"/>
  <c r="B19" i="2" s="1"/>
  <c r="B21" i="1"/>
  <c r="B22" i="1"/>
  <c r="B23" i="1"/>
  <c r="B24" i="1"/>
  <c r="B23" i="2" s="1"/>
  <c r="B25" i="1"/>
  <c r="B26" i="1"/>
  <c r="B27" i="1"/>
  <c r="B28" i="1"/>
  <c r="B27" i="2" s="1"/>
  <c r="B29" i="1"/>
  <c r="B30" i="1"/>
  <c r="B31" i="1"/>
  <c r="B32" i="1"/>
  <c r="B31" i="2" s="1"/>
  <c r="B33" i="1"/>
  <c r="B34" i="1"/>
  <c r="B35" i="1"/>
  <c r="B36" i="1"/>
  <c r="B35" i="2" s="1"/>
  <c r="B37" i="1"/>
  <c r="B38" i="1"/>
  <c r="B39" i="1"/>
  <c r="B40" i="1"/>
  <c r="B39" i="2" s="1"/>
  <c r="B20" i="6" s="1"/>
  <c r="B41" i="1"/>
  <c r="B42" i="1"/>
  <c r="B43" i="1"/>
  <c r="B44" i="1"/>
  <c r="B43" i="2" s="1"/>
  <c r="B45" i="1"/>
  <c r="B46" i="1"/>
  <c r="B47" i="1"/>
  <c r="B48" i="1"/>
  <c r="B47" i="2" s="1"/>
  <c r="B49" i="1"/>
  <c r="B50" i="1"/>
  <c r="B51" i="1"/>
  <c r="B52" i="1"/>
  <c r="B51" i="2" s="1"/>
  <c r="B53" i="1"/>
  <c r="B54" i="1"/>
  <c r="B55" i="1"/>
  <c r="B56" i="1"/>
  <c r="B55" i="2" s="1"/>
  <c r="B56" i="6" s="1"/>
  <c r="B57" i="1"/>
  <c r="B58" i="1"/>
  <c r="B59" i="1"/>
  <c r="B60" i="1"/>
  <c r="B59" i="2" s="1"/>
  <c r="B61" i="1"/>
  <c r="B62" i="1"/>
  <c r="B63" i="1"/>
  <c r="B64" i="1"/>
  <c r="B63" i="2" s="1"/>
  <c r="B106" i="6" s="1"/>
  <c r="B65" i="1"/>
  <c r="B66" i="1"/>
  <c r="B67" i="1"/>
  <c r="B68" i="1"/>
  <c r="B67" i="2" s="1"/>
  <c r="B110" i="6" s="1"/>
  <c r="B69" i="1"/>
  <c r="B70" i="1"/>
  <c r="B71" i="2"/>
  <c r="B75" i="2"/>
  <c r="B79" i="2"/>
  <c r="B83" i="2"/>
  <c r="B87" i="2"/>
  <c r="B91" i="2"/>
  <c r="B95" i="2"/>
  <c r="B99" i="2"/>
  <c r="B103" i="2"/>
  <c r="B107" i="2"/>
  <c r="B111" i="2"/>
  <c r="B115" i="2"/>
  <c r="B8" i="1"/>
  <c r="B7" i="2" s="1"/>
  <c r="E35" i="8"/>
  <c r="B29" i="2"/>
  <c r="B39" i="6" s="1"/>
  <c r="F72" i="6"/>
  <c r="F103" i="6"/>
  <c r="F104" i="6"/>
  <c r="F105" i="6"/>
  <c r="F106" i="6"/>
  <c r="F107" i="6"/>
  <c r="F108" i="6"/>
  <c r="F109" i="6"/>
  <c r="F110" i="6"/>
  <c r="F111" i="6"/>
  <c r="F102" i="6"/>
  <c r="F101" i="6"/>
  <c r="F100" i="6"/>
  <c r="F96" i="6"/>
  <c r="F97" i="6"/>
  <c r="F98" i="6"/>
  <c r="F99" i="6"/>
  <c r="F95" i="6"/>
  <c r="F89" i="6"/>
  <c r="F90" i="6"/>
  <c r="F91" i="6"/>
  <c r="F92" i="6"/>
  <c r="F93" i="6"/>
  <c r="F94" i="6"/>
  <c r="F88" i="6"/>
  <c r="F87" i="6"/>
  <c r="F86" i="6"/>
  <c r="F84" i="6"/>
  <c r="F85" i="6"/>
  <c r="F83" i="6"/>
  <c r="F81" i="6"/>
  <c r="F82" i="6"/>
  <c r="F78" i="6"/>
  <c r="F79" i="6"/>
  <c r="F80" i="6"/>
  <c r="F77" i="6"/>
  <c r="F76" i="6"/>
  <c r="F75" i="6"/>
  <c r="F73" i="6"/>
  <c r="F74" i="6"/>
  <c r="K77" i="6"/>
  <c r="B8" i="2"/>
  <c r="B9" i="2"/>
  <c r="B10" i="2"/>
  <c r="B12" i="2"/>
  <c r="B13" i="2"/>
  <c r="B14" i="2"/>
  <c r="B16" i="2"/>
  <c r="B17" i="2"/>
  <c r="B73" i="6" s="1"/>
  <c r="B18" i="2"/>
  <c r="B20" i="2"/>
  <c r="B9" i="6" s="1"/>
  <c r="B21" i="2"/>
  <c r="B76" i="6" s="1"/>
  <c r="B22" i="2"/>
  <c r="B24" i="2"/>
  <c r="B35" i="6" s="1"/>
  <c r="B25" i="2"/>
  <c r="B36" i="6" s="1"/>
  <c r="B26" i="2"/>
  <c r="B28" i="2"/>
  <c r="B38" i="6" s="1"/>
  <c r="B30" i="2"/>
  <c r="B40" i="6" s="1"/>
  <c r="B32" i="2"/>
  <c r="B33" i="2"/>
  <c r="B83" i="6" s="1"/>
  <c r="B34" i="2"/>
  <c r="B84" i="6" s="1"/>
  <c r="B36" i="2"/>
  <c r="B37" i="2"/>
  <c r="B86" i="6" s="1"/>
  <c r="B38" i="2"/>
  <c r="B87" i="6" s="1"/>
  <c r="B40" i="2"/>
  <c r="B41" i="2"/>
  <c r="B44" i="6" s="1"/>
  <c r="B42" i="2"/>
  <c r="B45" i="6" s="1"/>
  <c r="B44" i="2"/>
  <c r="B45" i="2"/>
  <c r="B48" i="6" s="1"/>
  <c r="B46" i="2"/>
  <c r="B48" i="2"/>
  <c r="B49" i="2"/>
  <c r="B50" i="2"/>
  <c r="B51" i="6" s="1"/>
  <c r="B52" i="2"/>
  <c r="B53" i="2"/>
  <c r="B54" i="2"/>
  <c r="B99" i="6" s="1"/>
  <c r="B56" i="2"/>
  <c r="B57" i="2"/>
  <c r="B101" i="6" s="1"/>
  <c r="B58" i="2"/>
  <c r="B60" i="2"/>
  <c r="B61" i="2"/>
  <c r="B62" i="2"/>
  <c r="B62" i="6" s="1"/>
  <c r="B64" i="2"/>
  <c r="B65" i="2"/>
  <c r="B66" i="2"/>
  <c r="B68" i="2"/>
  <c r="B69" i="2"/>
  <c r="B70" i="2"/>
  <c r="B72" i="2"/>
  <c r="B73" i="2"/>
  <c r="B74" i="2"/>
  <c r="B76" i="2"/>
  <c r="B77" i="2"/>
  <c r="B78" i="2"/>
  <c r="B80" i="2"/>
  <c r="B81" i="2"/>
  <c r="B82" i="2"/>
  <c r="B84" i="2"/>
  <c r="B85" i="2"/>
  <c r="B86" i="2"/>
  <c r="B88" i="2"/>
  <c r="B89" i="2"/>
  <c r="B90" i="2"/>
  <c r="B92" i="2"/>
  <c r="B93" i="2"/>
  <c r="B94" i="2"/>
  <c r="B96" i="2"/>
  <c r="B97" i="2"/>
  <c r="B98" i="2"/>
  <c r="B100" i="2"/>
  <c r="B101" i="2"/>
  <c r="B102" i="2"/>
  <c r="B104" i="2"/>
  <c r="B105" i="2"/>
  <c r="B106" i="2"/>
  <c r="B108" i="2"/>
  <c r="B109" i="2"/>
  <c r="B110" i="2"/>
  <c r="B112" i="2"/>
  <c r="B113" i="2"/>
  <c r="B114" i="2"/>
  <c r="B11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B74" i="6"/>
  <c r="B78" i="6"/>
  <c r="B79" i="6"/>
  <c r="B80" i="6"/>
  <c r="B82" i="6"/>
  <c r="B88" i="6"/>
  <c r="B89" i="6"/>
  <c r="B91" i="6"/>
  <c r="B92" i="6"/>
  <c r="B93" i="6"/>
  <c r="B97" i="6"/>
  <c r="B98" i="6"/>
  <c r="B100" i="6"/>
  <c r="B103" i="6"/>
  <c r="B104" i="6"/>
  <c r="B105" i="6"/>
  <c r="B107" i="6"/>
  <c r="B108" i="6"/>
  <c r="B109" i="6"/>
  <c r="B111" i="6"/>
  <c r="A111" i="6"/>
  <c r="A110" i="6"/>
  <c r="A109" i="6"/>
  <c r="A102" i="6"/>
  <c r="A103" i="6"/>
  <c r="A104" i="6"/>
  <c r="A105" i="6"/>
  <c r="A106" i="6"/>
  <c r="A107" i="6"/>
  <c r="A108" i="6"/>
  <c r="A99" i="6"/>
  <c r="A100" i="6"/>
  <c r="A101" i="6"/>
  <c r="A94" i="6"/>
  <c r="A95" i="6"/>
  <c r="A96" i="6"/>
  <c r="A97" i="6"/>
  <c r="A98" i="6"/>
  <c r="A72" i="6"/>
  <c r="A73" i="6"/>
  <c r="A74" i="6"/>
  <c r="A75" i="6"/>
  <c r="A76" i="6"/>
  <c r="A77" i="6"/>
  <c r="A78" i="6"/>
  <c r="A79" i="6"/>
  <c r="A80" i="6"/>
  <c r="A81" i="6"/>
  <c r="A82" i="6"/>
  <c r="A83" i="6"/>
  <c r="A84" i="6"/>
  <c r="A85" i="6"/>
  <c r="A86" i="6"/>
  <c r="A87" i="6"/>
  <c r="A88" i="6"/>
  <c r="A89" i="6"/>
  <c r="A90" i="6"/>
  <c r="A91" i="6"/>
  <c r="A92" i="6"/>
  <c r="A93" i="6"/>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B12" i="6"/>
  <c r="B17" i="6"/>
  <c r="B63" i="6"/>
  <c r="B49" i="6"/>
  <c r="B54" i="6"/>
  <c r="F8" i="7"/>
  <c r="C6" i="4"/>
  <c r="F28" i="7"/>
  <c r="D6" i="4"/>
  <c r="F48" i="7"/>
  <c r="E6" i="4"/>
  <c r="F68" i="7"/>
  <c r="F6" i="4"/>
  <c r="M6" i="4"/>
  <c r="F9" i="7"/>
  <c r="C7" i="4"/>
  <c r="F29" i="7"/>
  <c r="D7" i="4"/>
  <c r="F49" i="7"/>
  <c r="E7" i="4"/>
  <c r="F69" i="7"/>
  <c r="F7" i="4"/>
  <c r="M7" i="4"/>
  <c r="F10" i="7"/>
  <c r="C8" i="4"/>
  <c r="F30" i="7"/>
  <c r="D8" i="4"/>
  <c r="F50" i="7"/>
  <c r="E8" i="4"/>
  <c r="F70" i="7"/>
  <c r="F8" i="4"/>
  <c r="M8" i="4"/>
  <c r="F11" i="7"/>
  <c r="C9" i="4"/>
  <c r="F31" i="7"/>
  <c r="D9" i="4"/>
  <c r="F51" i="7"/>
  <c r="E9" i="4"/>
  <c r="F71" i="7"/>
  <c r="F9" i="4"/>
  <c r="M9" i="4"/>
  <c r="F12" i="7"/>
  <c r="C10" i="4"/>
  <c r="F32" i="7"/>
  <c r="D10" i="4"/>
  <c r="F52" i="7"/>
  <c r="E10" i="4"/>
  <c r="M10" i="4"/>
  <c r="F13" i="7"/>
  <c r="C11" i="4"/>
  <c r="F33" i="7"/>
  <c r="D11" i="4"/>
  <c r="M11" i="4"/>
  <c r="F14" i="7"/>
  <c r="C12" i="4"/>
  <c r="M12" i="4"/>
  <c r="F15" i="7"/>
  <c r="C13" i="4"/>
  <c r="M13" i="4"/>
  <c r="F16" i="7"/>
  <c r="C14" i="4"/>
  <c r="M14" i="4"/>
  <c r="F17" i="7"/>
  <c r="C15" i="4"/>
  <c r="M15" i="4"/>
  <c r="F18" i="7"/>
  <c r="C16" i="4"/>
  <c r="M16" i="4"/>
  <c r="F19" i="7"/>
  <c r="C17" i="4"/>
  <c r="M17" i="4"/>
  <c r="M18" i="4"/>
  <c r="M19" i="4"/>
  <c r="M20" i="4"/>
  <c r="F72" i="7"/>
  <c r="F73" i="7"/>
  <c r="F74" i="7"/>
  <c r="F75" i="7"/>
  <c r="F76" i="7"/>
  <c r="F77" i="7"/>
  <c r="F78" i="7"/>
  <c r="F79" i="7"/>
  <c r="F80" i="7"/>
  <c r="F81" i="7"/>
  <c r="F82" i="7"/>
  <c r="F53" i="7"/>
  <c r="F54" i="7"/>
  <c r="F55" i="7"/>
  <c r="F56" i="7"/>
  <c r="F57" i="7"/>
  <c r="F58" i="7"/>
  <c r="F59" i="7"/>
  <c r="F60" i="7"/>
  <c r="F61" i="7"/>
  <c r="F62" i="7"/>
  <c r="F34" i="7"/>
  <c r="F35" i="7"/>
  <c r="F36" i="7"/>
  <c r="F37" i="7"/>
  <c r="F38" i="7"/>
  <c r="F39" i="7"/>
  <c r="F40" i="7"/>
  <c r="F41" i="7"/>
  <c r="F42" i="7"/>
  <c r="F20" i="7"/>
  <c r="F21" i="7"/>
  <c r="F22" i="7"/>
  <c r="M8" i="10"/>
  <c r="N15" i="11"/>
  <c r="Q8" i="10"/>
  <c r="D7" i="5"/>
  <c r="D8" i="5"/>
  <c r="D9" i="5"/>
  <c r="D10" i="5"/>
  <c r="D12" i="5"/>
  <c r="H7" i="5"/>
  <c r="D17" i="5"/>
  <c r="D18" i="5"/>
  <c r="D19" i="5"/>
  <c r="H8" i="5"/>
  <c r="D24" i="5"/>
  <c r="D25" i="5"/>
  <c r="H9" i="5"/>
  <c r="D30" i="5"/>
  <c r="D31" i="5"/>
  <c r="D32" i="5"/>
  <c r="D33" i="5"/>
  <c r="H10" i="5"/>
  <c r="D38" i="5"/>
  <c r="D39" i="5"/>
  <c r="D40" i="5"/>
  <c r="H11" i="5"/>
  <c r="D45" i="5"/>
  <c r="D46" i="5"/>
  <c r="D47" i="5"/>
  <c r="H12" i="5"/>
  <c r="H13" i="5"/>
  <c r="J15" i="11"/>
  <c r="F64" i="6"/>
  <c r="F63" i="6"/>
  <c r="C64" i="6"/>
  <c r="C63" i="6"/>
  <c r="A65" i="6"/>
  <c r="K13" i="5"/>
  <c r="E42" i="8"/>
  <c r="E41" i="8"/>
  <c r="E40" i="8"/>
  <c r="E29" i="8"/>
  <c r="E28" i="8"/>
  <c r="E26" i="8"/>
  <c r="E25" i="8"/>
  <c r="E33" i="8"/>
  <c r="E32" i="8"/>
  <c r="E31" i="8"/>
  <c r="E36" i="8"/>
  <c r="E34" i="8"/>
  <c r="E39" i="8"/>
  <c r="E38" i="8"/>
  <c r="E37" i="8"/>
  <c r="B17" i="4"/>
  <c r="B16" i="4"/>
  <c r="A68" i="7"/>
  <c r="A69" i="7"/>
  <c r="A70" i="7"/>
  <c r="A71" i="7"/>
  <c r="A72" i="7"/>
  <c r="A73" i="7"/>
  <c r="A74" i="7"/>
  <c r="A75" i="7"/>
  <c r="A76" i="7"/>
  <c r="A77" i="7"/>
  <c r="A78" i="7"/>
  <c r="A79" i="7"/>
  <c r="A80" i="7"/>
  <c r="A81" i="7"/>
  <c r="A82" i="7"/>
  <c r="B15" i="4"/>
  <c r="B14" i="4"/>
  <c r="B13" i="4"/>
  <c r="Q18" i="10"/>
  <c r="Q15" i="10"/>
  <c r="S14" i="2"/>
  <c r="T14" i="2"/>
  <c r="Q18" i="2"/>
  <c r="R18" i="2"/>
  <c r="S22" i="2"/>
  <c r="T22" i="2"/>
  <c r="C40" i="6"/>
  <c r="Q34" i="2"/>
  <c r="R34" i="2"/>
  <c r="S38" i="2"/>
  <c r="T38" i="2"/>
  <c r="S42" i="2"/>
  <c r="T42" i="2"/>
  <c r="Q46" i="2"/>
  <c r="R46" i="2"/>
  <c r="Q50" i="2"/>
  <c r="R50" i="2"/>
  <c r="C55" i="6"/>
  <c r="Q58" i="2"/>
  <c r="R58" i="2"/>
  <c r="C62" i="6"/>
  <c r="Q66" i="2"/>
  <c r="R66" i="2"/>
  <c r="S70" i="2"/>
  <c r="T70" i="2"/>
  <c r="Q74" i="2"/>
  <c r="R74" i="2"/>
  <c r="S78" i="2"/>
  <c r="T78" i="2"/>
  <c r="S82" i="2"/>
  <c r="T82" i="2"/>
  <c r="S86" i="2"/>
  <c r="T86" i="2"/>
  <c r="S90" i="2"/>
  <c r="T90" i="2"/>
  <c r="Q94" i="2"/>
  <c r="R94" i="2"/>
  <c r="Q98" i="2"/>
  <c r="R98" i="2"/>
  <c r="S102" i="2"/>
  <c r="T102" i="2"/>
  <c r="S106" i="2"/>
  <c r="T106" i="2"/>
  <c r="Q110" i="2"/>
  <c r="R110" i="2"/>
  <c r="Q16" i="10"/>
  <c r="Q10" i="10"/>
  <c r="P17" i="10"/>
  <c r="P18" i="10"/>
  <c r="P16" i="10"/>
  <c r="P15" i="10"/>
  <c r="P14" i="10"/>
  <c r="P13" i="10"/>
  <c r="P12" i="10"/>
  <c r="P11" i="10"/>
  <c r="P10" i="10"/>
  <c r="P9" i="10"/>
  <c r="P8" i="10"/>
  <c r="P7" i="10"/>
  <c r="M7" i="10"/>
  <c r="M9" i="10"/>
  <c r="M10" i="10"/>
  <c r="M11" i="10"/>
  <c r="M12" i="10"/>
  <c r="M13" i="10"/>
  <c r="M14" i="10"/>
  <c r="M15" i="10"/>
  <c r="M16" i="10"/>
  <c r="M17" i="10"/>
  <c r="M18" i="10"/>
  <c r="L18" i="10"/>
  <c r="L17" i="10"/>
  <c r="L16" i="10"/>
  <c r="L15" i="10"/>
  <c r="L14" i="10"/>
  <c r="L13" i="10"/>
  <c r="L12" i="10"/>
  <c r="L11" i="10"/>
  <c r="L10" i="10"/>
  <c r="L9" i="10"/>
  <c r="L8" i="10"/>
  <c r="L7" i="10"/>
  <c r="H18" i="10"/>
  <c r="H17" i="10"/>
  <c r="F17" i="10"/>
  <c r="G17" i="10"/>
  <c r="H16" i="10"/>
  <c r="H15" i="10"/>
  <c r="H14" i="10"/>
  <c r="H13" i="10"/>
  <c r="H12" i="10"/>
  <c r="H11" i="10"/>
  <c r="H10" i="10"/>
  <c r="H19" i="10" s="1"/>
  <c r="N5" i="11" s="1"/>
  <c r="H9" i="10"/>
  <c r="H7" i="10"/>
  <c r="H8" i="10"/>
  <c r="F8" i="10"/>
  <c r="F19" i="10" s="1"/>
  <c r="J5" i="11" s="1"/>
  <c r="G8" i="10"/>
  <c r="G18" i="10"/>
  <c r="G16" i="10"/>
  <c r="G15" i="10"/>
  <c r="I15" i="10" s="1"/>
  <c r="F15" i="10"/>
  <c r="G14" i="10"/>
  <c r="G13" i="10"/>
  <c r="F13" i="10"/>
  <c r="I13" i="10" s="1"/>
  <c r="G12" i="10"/>
  <c r="G11" i="10"/>
  <c r="G10" i="10"/>
  <c r="G9" i="10"/>
  <c r="I9" i="10" s="1"/>
  <c r="G7" i="10"/>
  <c r="F7" i="10"/>
  <c r="F18" i="10"/>
  <c r="I18" i="10"/>
  <c r="F16" i="10"/>
  <c r="F14" i="10"/>
  <c r="F11" i="10"/>
  <c r="F12" i="10"/>
  <c r="I12" i="10" s="1"/>
  <c r="F10" i="10"/>
  <c r="F9" i="10"/>
  <c r="C8" i="10"/>
  <c r="C7" i="10"/>
  <c r="N10" i="11"/>
  <c r="C6" i="10"/>
  <c r="B12" i="4"/>
  <c r="B11" i="4"/>
  <c r="A62" i="7"/>
  <c r="A53" i="7"/>
  <c r="A54" i="7"/>
  <c r="A55" i="7"/>
  <c r="A56" i="7"/>
  <c r="A57" i="7"/>
  <c r="A58" i="7"/>
  <c r="A59" i="7"/>
  <c r="A60" i="7"/>
  <c r="A61" i="7"/>
  <c r="A48" i="7"/>
  <c r="A49" i="7"/>
  <c r="A50" i="7"/>
  <c r="A51" i="7"/>
  <c r="A52" i="7"/>
  <c r="A28" i="7"/>
  <c r="A29" i="7"/>
  <c r="A30" i="7"/>
  <c r="A31" i="7"/>
  <c r="A32" i="7"/>
  <c r="A33" i="7"/>
  <c r="A34" i="7"/>
  <c r="A35" i="7"/>
  <c r="A36" i="7"/>
  <c r="A37" i="7"/>
  <c r="A38" i="7"/>
  <c r="A39" i="7"/>
  <c r="A40" i="7"/>
  <c r="A41" i="7"/>
  <c r="A42" i="7"/>
  <c r="A22" i="7"/>
  <c r="A13" i="7"/>
  <c r="A14" i="7"/>
  <c r="A15" i="7"/>
  <c r="A16" i="7"/>
  <c r="A17" i="7"/>
  <c r="A18" i="7"/>
  <c r="A19" i="7"/>
  <c r="A20" i="7"/>
  <c r="A21" i="7"/>
  <c r="F52" i="6"/>
  <c r="F53" i="6"/>
  <c r="F54" i="6"/>
  <c r="F55" i="6"/>
  <c r="F56" i="6"/>
  <c r="F57" i="6"/>
  <c r="F58" i="6"/>
  <c r="F59" i="6"/>
  <c r="F60" i="6"/>
  <c r="F61" i="6"/>
  <c r="F62" i="6"/>
  <c r="F51" i="6"/>
  <c r="F46" i="6"/>
  <c r="F47" i="6"/>
  <c r="F48" i="6"/>
  <c r="F49" i="6"/>
  <c r="F50" i="6"/>
  <c r="F45" i="6"/>
  <c r="F29" i="6"/>
  <c r="F30" i="6"/>
  <c r="C30" i="6"/>
  <c r="F31" i="6"/>
  <c r="F32" i="6"/>
  <c r="F33" i="6"/>
  <c r="F34" i="6"/>
  <c r="F35" i="6"/>
  <c r="F36" i="6"/>
  <c r="F37" i="6"/>
  <c r="F38" i="6"/>
  <c r="F39" i="6"/>
  <c r="F40" i="6"/>
  <c r="F41" i="6"/>
  <c r="F42" i="6"/>
  <c r="F43" i="6"/>
  <c r="F44" i="6"/>
  <c r="C29" i="6"/>
  <c r="C31" i="6"/>
  <c r="C32" i="6"/>
  <c r="C33" i="6"/>
  <c r="C34" i="6"/>
  <c r="C35" i="6"/>
  <c r="C36" i="6"/>
  <c r="C37" i="6"/>
  <c r="C38" i="6"/>
  <c r="C39" i="6"/>
  <c r="C41" i="6"/>
  <c r="C42" i="6"/>
  <c r="C43" i="6"/>
  <c r="C44" i="6"/>
  <c r="C45" i="6"/>
  <c r="C46" i="6"/>
  <c r="C47" i="6"/>
  <c r="C48" i="6"/>
  <c r="C49" i="6"/>
  <c r="C50" i="6"/>
  <c r="C51" i="6"/>
  <c r="C52" i="6"/>
  <c r="C53" i="6"/>
  <c r="C54" i="6"/>
  <c r="C56" i="6"/>
  <c r="C57" i="6"/>
  <c r="C58" i="6"/>
  <c r="C59" i="6"/>
  <c r="C60" i="6"/>
  <c r="C61" i="6"/>
  <c r="K35" i="6"/>
  <c r="A61" i="6"/>
  <c r="A62" i="6"/>
  <c r="A63" i="6"/>
  <c r="A64" i="6"/>
  <c r="A59" i="6"/>
  <c r="A60" i="6"/>
  <c r="B53" i="6"/>
  <c r="B37" i="6"/>
  <c r="B31" i="6"/>
  <c r="B30" i="6"/>
  <c r="F21" i="6"/>
  <c r="F20" i="6"/>
  <c r="J40" i="8"/>
  <c r="J37" i="8"/>
  <c r="J34" i="8"/>
  <c r="J31" i="8"/>
  <c r="J28" i="8"/>
  <c r="J20" i="8"/>
  <c r="J17" i="8"/>
  <c r="J14" i="8"/>
  <c r="J12" i="8"/>
  <c r="J9" i="8"/>
  <c r="J7" i="8"/>
  <c r="E19" i="8"/>
  <c r="E18" i="8"/>
  <c r="E17" i="8"/>
  <c r="E11" i="8"/>
  <c r="E10" i="8"/>
  <c r="E9" i="8"/>
  <c r="E16" i="8"/>
  <c r="E15" i="8"/>
  <c r="E14" i="8"/>
  <c r="J12" i="5"/>
  <c r="L12" i="5"/>
  <c r="B10" i="4"/>
  <c r="J9" i="5"/>
  <c r="L9" i="5"/>
  <c r="A13" i="4"/>
  <c r="A14" i="4"/>
  <c r="A15" i="4"/>
  <c r="A16" i="4"/>
  <c r="A17" i="4"/>
  <c r="A18" i="4"/>
  <c r="A19" i="4"/>
  <c r="A20" i="4"/>
  <c r="A12" i="4"/>
  <c r="B6" i="4"/>
  <c r="B7" i="4"/>
  <c r="B8" i="4"/>
  <c r="B9" i="4"/>
  <c r="A6" i="4"/>
  <c r="A7" i="4"/>
  <c r="A8" i="4"/>
  <c r="A9" i="4"/>
  <c r="A10" i="4"/>
  <c r="A11" i="4"/>
  <c r="A8" i="7"/>
  <c r="A9" i="7"/>
  <c r="A10" i="7"/>
  <c r="A11" i="7"/>
  <c r="A12" i="7"/>
  <c r="A58" i="6"/>
  <c r="F16" i="6"/>
  <c r="A45" i="6"/>
  <c r="A46" i="6"/>
  <c r="A47" i="6"/>
  <c r="A48" i="6"/>
  <c r="A49" i="6"/>
  <c r="A50" i="6"/>
  <c r="A51" i="6"/>
  <c r="A52" i="6"/>
  <c r="A53" i="6"/>
  <c r="A54" i="6"/>
  <c r="A55" i="6"/>
  <c r="A56" i="6"/>
  <c r="A57" i="6"/>
  <c r="A42" i="6"/>
  <c r="A43" i="6"/>
  <c r="A44" i="6"/>
  <c r="A29" i="6"/>
  <c r="A30" i="6"/>
  <c r="A31" i="6"/>
  <c r="A32" i="6"/>
  <c r="A33" i="6"/>
  <c r="A34" i="6"/>
  <c r="A35" i="6"/>
  <c r="A36" i="6"/>
  <c r="A37" i="6"/>
  <c r="A38" i="6"/>
  <c r="A39" i="6"/>
  <c r="A40" i="6"/>
  <c r="A41" i="6"/>
  <c r="F19" i="6"/>
  <c r="F18" i="6"/>
  <c r="F17" i="6"/>
  <c r="F15" i="6"/>
  <c r="F14" i="6"/>
  <c r="F13" i="6"/>
  <c r="F12" i="6"/>
  <c r="F11" i="6"/>
  <c r="F10" i="6"/>
  <c r="F8" i="6"/>
  <c r="F9" i="6"/>
  <c r="C20" i="6"/>
  <c r="K14" i="6"/>
  <c r="C8" i="6"/>
  <c r="C14" i="6"/>
  <c r="C9" i="6"/>
  <c r="C10" i="6"/>
  <c r="Q26" i="2"/>
  <c r="S40" i="2"/>
  <c r="T40" i="2"/>
  <c r="C17" i="6"/>
  <c r="C18" i="6"/>
  <c r="S39" i="2"/>
  <c r="T39" i="2"/>
  <c r="C21" i="6"/>
  <c r="B43" i="6"/>
  <c r="B18" i="6"/>
  <c r="B15" i="6"/>
  <c r="B11" i="6"/>
  <c r="A8" i="6"/>
  <c r="A9" i="6"/>
  <c r="A10" i="6"/>
  <c r="A11" i="6"/>
  <c r="A12" i="6"/>
  <c r="A13" i="6"/>
  <c r="A14" i="6"/>
  <c r="A15" i="6"/>
  <c r="A16" i="6"/>
  <c r="A17" i="6"/>
  <c r="A18" i="6"/>
  <c r="A19" i="6"/>
  <c r="A20" i="6"/>
  <c r="A21" i="6"/>
  <c r="A22" i="6"/>
  <c r="S7" i="2"/>
  <c r="T7" i="2"/>
  <c r="S8" i="2"/>
  <c r="Q8" i="2"/>
  <c r="Q9" i="2"/>
  <c r="S10" i="2"/>
  <c r="T10" i="2"/>
  <c r="S15" i="2"/>
  <c r="T15" i="2"/>
  <c r="Q32" i="2"/>
  <c r="R32" i="2"/>
  <c r="Q11" i="2"/>
  <c r="R11" i="2"/>
  <c r="S12" i="2"/>
  <c r="S13" i="2"/>
  <c r="Q14" i="2"/>
  <c r="R14" i="2"/>
  <c r="Q16" i="2"/>
  <c r="R16" i="2"/>
  <c r="Q17" i="2"/>
  <c r="R17" i="2"/>
  <c r="S18" i="2"/>
  <c r="Q20" i="2"/>
  <c r="R20" i="2"/>
  <c r="Q22" i="2"/>
  <c r="S23" i="2"/>
  <c r="S24" i="2"/>
  <c r="T24" i="2"/>
  <c r="Q24" i="2"/>
  <c r="Q27" i="2"/>
  <c r="Q28" i="2"/>
  <c r="S29" i="2"/>
  <c r="T29" i="2"/>
  <c r="S31" i="2"/>
  <c r="Q35" i="2"/>
  <c r="R35" i="2"/>
  <c r="Q37" i="2"/>
  <c r="R37" i="2"/>
  <c r="Q41" i="2"/>
  <c r="R41" i="2"/>
  <c r="Q43" i="2"/>
  <c r="S44" i="2"/>
  <c r="T44" i="2"/>
  <c r="S45" i="2"/>
  <c r="T45" i="2"/>
  <c r="S47" i="2"/>
  <c r="S48" i="2"/>
  <c r="T48" i="2"/>
  <c r="S49" i="2"/>
  <c r="T49" i="2"/>
  <c r="S50" i="2"/>
  <c r="T50" i="2"/>
  <c r="Q51" i="2"/>
  <c r="S52" i="2"/>
  <c r="T52" i="2"/>
  <c r="Q53" i="2"/>
  <c r="S54" i="2"/>
  <c r="Q55" i="2"/>
  <c r="R55" i="2"/>
  <c r="Q56" i="2"/>
  <c r="R56" i="2"/>
  <c r="Q57" i="2"/>
  <c r="R57" i="2"/>
  <c r="Q59" i="2"/>
  <c r="R59" i="2"/>
  <c r="S60" i="2"/>
  <c r="T60" i="2"/>
  <c r="Q61" i="2"/>
  <c r="R61" i="2"/>
  <c r="S61" i="2"/>
  <c r="Q62" i="2"/>
  <c r="R62" i="2"/>
  <c r="S63" i="2"/>
  <c r="T63" i="2"/>
  <c r="Q63" i="2"/>
  <c r="Q64" i="2"/>
  <c r="R64" i="2"/>
  <c r="Q65" i="2"/>
  <c r="R65" i="2"/>
  <c r="S65" i="2"/>
  <c r="T65" i="2"/>
  <c r="S67" i="2"/>
  <c r="T67" i="2"/>
  <c r="Q67" i="2"/>
  <c r="R67" i="2"/>
  <c r="Q68" i="2"/>
  <c r="R68" i="2"/>
  <c r="Q69" i="2"/>
  <c r="R69" i="2"/>
  <c r="Q70" i="2"/>
  <c r="R70" i="2"/>
  <c r="Q71" i="2"/>
  <c r="R71" i="2"/>
  <c r="S72" i="2"/>
  <c r="T72" i="2"/>
  <c r="Q72" i="2"/>
  <c r="S73" i="2"/>
  <c r="T73" i="2"/>
  <c r="S74" i="2"/>
  <c r="T74" i="2"/>
  <c r="Q75" i="2"/>
  <c r="R75" i="2"/>
  <c r="S76" i="2"/>
  <c r="T76" i="2"/>
  <c r="Q77" i="2"/>
  <c r="R77" i="2"/>
  <c r="S77" i="2"/>
  <c r="Q78" i="2"/>
  <c r="Q79" i="2"/>
  <c r="R79" i="2"/>
  <c r="S80" i="2"/>
  <c r="T80" i="2"/>
  <c r="S81" i="2"/>
  <c r="T81" i="2"/>
  <c r="Q81" i="2"/>
  <c r="R81" i="2"/>
  <c r="Q82" i="2"/>
  <c r="S83" i="2"/>
  <c r="S84" i="2"/>
  <c r="T84" i="2"/>
  <c r="Q85" i="2"/>
  <c r="R85" i="2"/>
  <c r="Q86" i="2"/>
  <c r="S87" i="2"/>
  <c r="T87" i="2"/>
  <c r="Q88" i="2"/>
  <c r="S89" i="2"/>
  <c r="T89" i="2"/>
  <c r="Q89" i="2"/>
  <c r="Q90" i="2"/>
  <c r="Q91" i="2"/>
  <c r="R91" i="2"/>
  <c r="S92" i="2"/>
  <c r="T92" i="2"/>
  <c r="S93" i="2"/>
  <c r="T93" i="2"/>
  <c r="S95" i="2"/>
  <c r="S96" i="2"/>
  <c r="T96" i="2"/>
  <c r="S97" i="2"/>
  <c r="T97" i="2"/>
  <c r="Q97" i="2"/>
  <c r="S99" i="2"/>
  <c r="T99" i="2"/>
  <c r="Q99" i="2"/>
  <c r="Q100" i="2"/>
  <c r="S101" i="2"/>
  <c r="T101" i="2"/>
  <c r="Q101" i="2"/>
  <c r="R101" i="2"/>
  <c r="Q102" i="2"/>
  <c r="S103" i="2"/>
  <c r="Q103" i="2"/>
  <c r="R103" i="2"/>
  <c r="Q104" i="2"/>
  <c r="R104" i="2"/>
  <c r="S105" i="2"/>
  <c r="T105" i="2"/>
  <c r="Q106" i="2"/>
  <c r="Q107" i="2"/>
  <c r="R107" i="2"/>
  <c r="S107" i="2"/>
  <c r="S108" i="2"/>
  <c r="T108" i="2"/>
  <c r="S109" i="2"/>
  <c r="S110" i="2"/>
  <c r="Q111" i="2"/>
  <c r="R111" i="2"/>
  <c r="S111" i="2"/>
  <c r="T111" i="2"/>
  <c r="Q112" i="2"/>
  <c r="S113" i="2"/>
  <c r="T113" i="2"/>
  <c r="S114" i="2"/>
  <c r="T114" i="2"/>
  <c r="S115" i="2"/>
  <c r="T115" i="2"/>
  <c r="S116" i="2"/>
  <c r="T116" i="2"/>
  <c r="Q116" i="2"/>
  <c r="S9" i="2"/>
  <c r="T9" i="2"/>
  <c r="Q21" i="2"/>
  <c r="R21" i="2"/>
  <c r="S30" i="2"/>
  <c r="S33" i="2"/>
  <c r="T33" i="2"/>
  <c r="S34" i="2"/>
  <c r="T34" i="2"/>
  <c r="S46" i="2"/>
  <c r="S58" i="2"/>
  <c r="T58" i="2"/>
  <c r="Q73" i="2"/>
  <c r="S11" i="2"/>
  <c r="S16" i="2"/>
  <c r="T16" i="2"/>
  <c r="S19" i="2"/>
  <c r="T19" i="2"/>
  <c r="Q25" i="2"/>
  <c r="R25" i="2"/>
  <c r="S27" i="2"/>
  <c r="T27" i="2"/>
  <c r="Q30" i="2"/>
  <c r="Q31" i="2"/>
  <c r="R31" i="2"/>
  <c r="S32" i="2"/>
  <c r="S36" i="2"/>
  <c r="Q38" i="2"/>
  <c r="Q39" i="2"/>
  <c r="R39" i="2"/>
  <c r="Q40" i="2"/>
  <c r="Q42" i="2"/>
  <c r="R42" i="2"/>
  <c r="Q47" i="2"/>
  <c r="R47" i="2"/>
  <c r="Q48" i="2"/>
  <c r="Q49" i="2"/>
  <c r="R49" i="2"/>
  <c r="S53" i="2"/>
  <c r="T53" i="2"/>
  <c r="S55" i="2"/>
  <c r="T55" i="2"/>
  <c r="S68" i="2"/>
  <c r="T68" i="2"/>
  <c r="Q80" i="2"/>
  <c r="R80" i="2"/>
  <c r="Q83" i="2"/>
  <c r="R83" i="2"/>
  <c r="Q92" i="2"/>
  <c r="Q93" i="2"/>
  <c r="Q95" i="2"/>
  <c r="Q105" i="2"/>
  <c r="R105" i="2"/>
  <c r="Q115" i="2"/>
  <c r="R115" i="2"/>
  <c r="B47" i="6"/>
  <c r="B57" i="6"/>
  <c r="B58" i="6"/>
  <c r="B60" i="6"/>
  <c r="B61" i="6"/>
  <c r="Q108" i="2"/>
  <c r="Q109" i="2"/>
  <c r="R109" i="2"/>
  <c r="Q113" i="2"/>
  <c r="R113" i="2"/>
  <c r="Q114" i="2"/>
  <c r="R114" i="2"/>
  <c r="S112" i="2"/>
  <c r="A107" i="2"/>
  <c r="A108" i="2"/>
  <c r="A109" i="2"/>
  <c r="A110" i="2"/>
  <c r="A111" i="2"/>
  <c r="A112" i="2"/>
  <c r="A113" i="2"/>
  <c r="A114" i="2"/>
  <c r="A115" i="2"/>
  <c r="A116" i="2"/>
  <c r="S104" i="2"/>
  <c r="A102" i="2"/>
  <c r="A103" i="2"/>
  <c r="A104" i="2"/>
  <c r="A105" i="2"/>
  <c r="A106" i="2"/>
  <c r="A7" i="2"/>
  <c r="Q7" i="2"/>
  <c r="R7" i="2"/>
  <c r="A8" i="2"/>
  <c r="A9" i="2"/>
  <c r="A10" i="2"/>
  <c r="Q10" i="2"/>
  <c r="R10" i="2"/>
  <c r="A11" i="2"/>
  <c r="A12" i="2"/>
  <c r="Q12" i="2"/>
  <c r="R12" i="2"/>
  <c r="A13" i="2"/>
  <c r="Q13" i="2"/>
  <c r="R13" i="2"/>
  <c r="A14" i="2"/>
  <c r="A15" i="2"/>
  <c r="Q15" i="2"/>
  <c r="R15" i="2"/>
  <c r="A16" i="2"/>
  <c r="A17" i="2"/>
  <c r="S17" i="2"/>
  <c r="T17" i="2"/>
  <c r="A18" i="2"/>
  <c r="A19" i="2"/>
  <c r="Q19" i="2"/>
  <c r="R19" i="2"/>
  <c r="A20" i="2"/>
  <c r="S20" i="2"/>
  <c r="A21" i="2"/>
  <c r="S21" i="2"/>
  <c r="T21" i="2"/>
  <c r="A22" i="2"/>
  <c r="A23" i="2"/>
  <c r="Q23" i="2"/>
  <c r="R23" i="2"/>
  <c r="A24" i="2"/>
  <c r="A25" i="2"/>
  <c r="S25" i="2"/>
  <c r="A26" i="2"/>
  <c r="S26" i="2"/>
  <c r="T26" i="2"/>
  <c r="A27" i="2"/>
  <c r="A28" i="2"/>
  <c r="S28" i="2"/>
  <c r="A29" i="2"/>
  <c r="Q29" i="2"/>
  <c r="R29" i="2"/>
  <c r="Q33" i="2"/>
  <c r="Q36" i="2"/>
  <c r="R36" i="2"/>
  <c r="Q44" i="2"/>
  <c r="R44" i="2"/>
  <c r="Q45" i="2"/>
  <c r="R45" i="2"/>
  <c r="Q52" i="2"/>
  <c r="R52" i="2"/>
  <c r="Q54" i="2"/>
  <c r="R54" i="2"/>
  <c r="Q60" i="2"/>
  <c r="Q76" i="2"/>
  <c r="Q84" i="2"/>
  <c r="R84" i="2"/>
  <c r="Q87" i="2"/>
  <c r="R87" i="2"/>
  <c r="Q96" i="2"/>
  <c r="R96" i="2"/>
  <c r="A30" i="2"/>
  <c r="A31" i="2"/>
  <c r="A32" i="2"/>
  <c r="A33" i="2"/>
  <c r="A34" i="2"/>
  <c r="A35" i="2"/>
  <c r="S35" i="2"/>
  <c r="T35" i="2"/>
  <c r="A36" i="2"/>
  <c r="A37" i="2"/>
  <c r="S37" i="2"/>
  <c r="T37" i="2"/>
  <c r="A38" i="2"/>
  <c r="A39" i="2"/>
  <c r="A40" i="2"/>
  <c r="A41" i="2"/>
  <c r="S41" i="2"/>
  <c r="T41" i="2"/>
  <c r="A42" i="2"/>
  <c r="A43" i="2"/>
  <c r="S43" i="2"/>
  <c r="T43" i="2"/>
  <c r="A44" i="2"/>
  <c r="A45" i="2"/>
  <c r="A46" i="2"/>
  <c r="A47" i="2"/>
  <c r="A48" i="2"/>
  <c r="A49" i="2"/>
  <c r="A50" i="2"/>
  <c r="A51" i="2"/>
  <c r="S51" i="2"/>
  <c r="T51" i="2"/>
  <c r="A52" i="2"/>
  <c r="A53" i="2"/>
  <c r="A54" i="2"/>
  <c r="A55" i="2"/>
  <c r="A56" i="2"/>
  <c r="S56" i="2"/>
  <c r="T56" i="2"/>
  <c r="A57" i="2"/>
  <c r="S57" i="2"/>
  <c r="T57" i="2"/>
  <c r="A58" i="2"/>
  <c r="A59" i="2"/>
  <c r="S59" i="2"/>
  <c r="T59" i="2"/>
  <c r="A60" i="2"/>
  <c r="A61" i="2"/>
  <c r="A62" i="2"/>
  <c r="S62" i="2"/>
  <c r="A63" i="2"/>
  <c r="A64" i="2"/>
  <c r="S64" i="2"/>
  <c r="T64" i="2"/>
  <c r="A65" i="2"/>
  <c r="A66" i="2"/>
  <c r="S66" i="2"/>
  <c r="T66" i="2"/>
  <c r="A67" i="2"/>
  <c r="A68" i="2"/>
  <c r="A69" i="2"/>
  <c r="S69" i="2"/>
  <c r="T69" i="2"/>
  <c r="A70" i="2"/>
  <c r="A71" i="2"/>
  <c r="S71" i="2"/>
  <c r="T71" i="2"/>
  <c r="A72" i="2"/>
  <c r="A73" i="2"/>
  <c r="A74" i="2"/>
  <c r="A75" i="2"/>
  <c r="S75" i="2"/>
  <c r="A76" i="2"/>
  <c r="A77" i="2"/>
  <c r="A78" i="2"/>
  <c r="A79" i="2"/>
  <c r="S79" i="2"/>
  <c r="T79" i="2"/>
  <c r="A80" i="2"/>
  <c r="A81" i="2"/>
  <c r="A82" i="2"/>
  <c r="A83" i="2"/>
  <c r="A84" i="2"/>
  <c r="A85" i="2"/>
  <c r="S85" i="2"/>
  <c r="T85" i="2"/>
  <c r="A86" i="2"/>
  <c r="A87" i="2"/>
  <c r="A88" i="2"/>
  <c r="S88" i="2"/>
  <c r="A89" i="2"/>
  <c r="A90" i="2"/>
  <c r="A91" i="2"/>
  <c r="S91" i="2"/>
  <c r="A92" i="2"/>
  <c r="A93" i="2"/>
  <c r="A94" i="2"/>
  <c r="S94" i="2"/>
  <c r="T94" i="2"/>
  <c r="A95" i="2"/>
  <c r="A96" i="2"/>
  <c r="A97" i="2"/>
  <c r="A98" i="2"/>
  <c r="S98" i="2"/>
  <c r="T98" i="2"/>
  <c r="A99" i="2"/>
  <c r="A101" i="2"/>
  <c r="S100" i="2"/>
  <c r="T100" i="2"/>
  <c r="A113" i="1"/>
  <c r="A114" i="1"/>
  <c r="A115" i="1"/>
  <c r="A116" i="1"/>
  <c r="A117" i="1"/>
  <c r="A106" i="1"/>
  <c r="A107" i="1"/>
  <c r="A108" i="1"/>
  <c r="A109" i="1"/>
  <c r="A110" i="1"/>
  <c r="A111" i="1"/>
  <c r="A112" i="1"/>
  <c r="A100" i="1"/>
  <c r="A101" i="1"/>
  <c r="A102" i="1"/>
  <c r="A103" i="1"/>
  <c r="A104" i="1"/>
  <c r="A105" i="1"/>
  <c r="A95" i="1"/>
  <c r="A96" i="1"/>
  <c r="A97" i="1"/>
  <c r="A98" i="1"/>
  <c r="A99" i="1"/>
  <c r="A91" i="1"/>
  <c r="A92" i="1"/>
  <c r="A93" i="1"/>
  <c r="A94"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R8" i="2"/>
  <c r="T112" i="2"/>
  <c r="R40" i="2"/>
  <c r="T75" i="2"/>
  <c r="T104" i="2"/>
  <c r="T91" i="2"/>
  <c r="T20" i="2"/>
  <c r="R33" i="2"/>
  <c r="R93" i="2"/>
  <c r="R92" i="2"/>
  <c r="T107" i="2"/>
  <c r="T30" i="2"/>
  <c r="R30" i="2"/>
  <c r="R95" i="2"/>
  <c r="R97" i="2"/>
  <c r="R89" i="2"/>
  <c r="T61" i="2"/>
  <c r="T25" i="2"/>
  <c r="R99" i="2"/>
  <c r="R48" i="2"/>
  <c r="R73" i="2"/>
  <c r="R108" i="2"/>
  <c r="R76" i="2"/>
  <c r="T95" i="2"/>
  <c r="T83" i="2"/>
  <c r="R51" i="2"/>
  <c r="R43" i="2"/>
  <c r="R27" i="2"/>
  <c r="R22" i="2"/>
  <c r="R116" i="2"/>
  <c r="T11" i="2"/>
  <c r="R112" i="2"/>
  <c r="T109" i="2"/>
  <c r="T103" i="2"/>
  <c r="T23" i="2"/>
  <c r="T13" i="2"/>
  <c r="J25" i="8"/>
  <c r="T54" i="2"/>
  <c r="R88" i="2"/>
  <c r="T88" i="2"/>
  <c r="T47" i="2"/>
  <c r="R24" i="2"/>
  <c r="C15" i="6"/>
  <c r="T36" i="2"/>
  <c r="C13" i="6"/>
  <c r="C11" i="6"/>
  <c r="C12" i="6"/>
  <c r="C16" i="6"/>
  <c r="C19" i="6"/>
  <c r="R28" i="2"/>
  <c r="T28" i="2"/>
  <c r="R100" i="2"/>
  <c r="R53" i="2"/>
  <c r="T31" i="2"/>
  <c r="T8" i="2"/>
  <c r="T77" i="2"/>
  <c r="R9" i="2"/>
  <c r="R60" i="2"/>
  <c r="R72" i="2"/>
  <c r="T32" i="2"/>
  <c r="R63" i="2"/>
  <c r="T110" i="2"/>
  <c r="R106" i="2"/>
  <c r="R82" i="2"/>
  <c r="J7" i="5"/>
  <c r="L7" i="5"/>
  <c r="Q7" i="10"/>
  <c r="Q11" i="10"/>
  <c r="Q17" i="10"/>
  <c r="R102" i="2"/>
  <c r="T18" i="2"/>
  <c r="R78" i="2"/>
  <c r="R38" i="2"/>
  <c r="T46" i="2"/>
  <c r="T62" i="2"/>
  <c r="R90" i="2"/>
  <c r="J10" i="5"/>
  <c r="L10" i="5"/>
  <c r="J8" i="5"/>
  <c r="L8" i="5"/>
  <c r="Q12" i="10"/>
  <c r="R26" i="2"/>
  <c r="R86" i="2"/>
  <c r="T12" i="2"/>
  <c r="Q9" i="10"/>
  <c r="Q13" i="10"/>
  <c r="Q14" i="10"/>
  <c r="Q19" i="10"/>
  <c r="F15" i="11"/>
  <c r="C14" i="10"/>
  <c r="J11" i="5"/>
  <c r="J13" i="5"/>
  <c r="L11" i="5"/>
  <c r="L13" i="5"/>
  <c r="F10" i="11"/>
  <c r="K10" i="6"/>
  <c r="K31" i="6"/>
  <c r="K79" i="6"/>
  <c r="K12" i="6"/>
  <c r="K33" i="6"/>
  <c r="M19" i="10"/>
  <c r="B15" i="11"/>
  <c r="I14" i="10"/>
  <c r="C9" i="10"/>
  <c r="C13" i="10"/>
  <c r="B10" i="11"/>
  <c r="I11" i="10"/>
  <c r="I7" i="10"/>
  <c r="I10" i="10"/>
  <c r="I16" i="10"/>
  <c r="I17" i="10"/>
  <c r="C15" i="10"/>
  <c r="J10" i="11"/>
  <c r="G19" i="10" l="1"/>
  <c r="F5" i="11" s="1"/>
  <c r="I8" i="10"/>
  <c r="I19" i="10" s="1"/>
  <c r="B5" i="11" s="1"/>
  <c r="B102" i="6"/>
  <c r="B59" i="6"/>
  <c r="B52" i="6"/>
  <c r="B96" i="6"/>
  <c r="B50" i="6"/>
  <c r="B94" i="6"/>
  <c r="B90" i="6"/>
  <c r="B46" i="6"/>
  <c r="B64" i="6"/>
  <c r="B85" i="6"/>
  <c r="B34" i="6"/>
  <c r="B77" i="6"/>
  <c r="B21" i="6"/>
  <c r="B13" i="6"/>
  <c r="B42" i="6"/>
  <c r="B55" i="6"/>
  <c r="B16" i="6"/>
  <c r="B95" i="6"/>
  <c r="B81" i="6"/>
  <c r="B75" i="6"/>
  <c r="B32" i="6"/>
  <c r="B41" i="6"/>
  <c r="B26" i="10"/>
  <c r="B72" i="6"/>
  <c r="B8" i="6"/>
  <c r="B29" i="6"/>
  <c r="C20" i="10"/>
  <c r="C100" i="6"/>
  <c r="C92" i="6"/>
  <c r="C110" i="6"/>
  <c r="C99" i="6"/>
  <c r="C108" i="6"/>
  <c r="C102" i="6"/>
  <c r="C87" i="6"/>
  <c r="C84" i="6"/>
  <c r="C76" i="6"/>
  <c r="C97" i="6"/>
  <c r="C89" i="6"/>
  <c r="C79" i="6"/>
  <c r="C111" i="6"/>
  <c r="C93" i="6"/>
  <c r="C83" i="6"/>
  <c r="B14" i="6"/>
  <c r="C105" i="6"/>
  <c r="C73" i="6"/>
  <c r="B10" i="6"/>
  <c r="B33" i="6"/>
  <c r="B19" i="6"/>
  <c r="C75" i="6" l="1"/>
  <c r="C77" i="6"/>
  <c r="C98" i="6"/>
  <c r="C88" i="6"/>
  <c r="C78" i="6"/>
  <c r="C91" i="6"/>
  <c r="C85" i="6"/>
  <c r="C104" i="6"/>
  <c r="C90" i="6"/>
  <c r="C72" i="6"/>
  <c r="C81" i="6"/>
  <c r="C109" i="6"/>
  <c r="C96" i="6"/>
  <c r="C86" i="6"/>
  <c r="C74" i="6"/>
  <c r="C95" i="6"/>
  <c r="C80" i="6"/>
  <c r="C107" i="6"/>
  <c r="C101" i="6"/>
  <c r="C103" i="6"/>
  <c r="C106" i="6"/>
  <c r="C94" i="6"/>
  <c r="C82" i="6"/>
  <c r="K75" i="6" l="1"/>
</calcChain>
</file>

<file path=xl/sharedStrings.xml><?xml version="1.0" encoding="utf-8"?>
<sst xmlns="http://schemas.openxmlformats.org/spreadsheetml/2006/main" count="1510" uniqueCount="381">
  <si>
    <t xml:space="preserve">SR. NO. </t>
  </si>
  <si>
    <t>STUDENT NAME</t>
  </si>
  <si>
    <t xml:space="preserve">STANDARD </t>
  </si>
  <si>
    <t xml:space="preserve">CONTACT </t>
  </si>
  <si>
    <t>MONTHLY FEES</t>
  </si>
  <si>
    <t>STATUS</t>
  </si>
  <si>
    <t>ADMISSION DATE</t>
  </si>
  <si>
    <t>0TH</t>
  </si>
  <si>
    <t>JR.KG/SR.KG</t>
  </si>
  <si>
    <t>1ST</t>
  </si>
  <si>
    <t>2ND</t>
  </si>
  <si>
    <t xml:space="preserve">3RD </t>
  </si>
  <si>
    <t>4TH</t>
  </si>
  <si>
    <t>5TH</t>
  </si>
  <si>
    <t>6TH</t>
  </si>
  <si>
    <t>7TH</t>
  </si>
  <si>
    <t>8TH</t>
  </si>
  <si>
    <t>9TH</t>
  </si>
  <si>
    <t xml:space="preserve">TOTAL = </t>
  </si>
  <si>
    <t>10TH</t>
  </si>
  <si>
    <t>SR.NO.</t>
  </si>
  <si>
    <t>NAME</t>
  </si>
  <si>
    <t>STD</t>
  </si>
  <si>
    <t>FEES AMOUNT</t>
  </si>
  <si>
    <t>JUNE</t>
  </si>
  <si>
    <t>JULY</t>
  </si>
  <si>
    <t>AUGUST</t>
  </si>
  <si>
    <t>SEPTEMBER</t>
  </si>
  <si>
    <t>OCTOBER</t>
  </si>
  <si>
    <t>NOVEMBER</t>
  </si>
  <si>
    <t>DECEMBER</t>
  </si>
  <si>
    <t>JANUARY</t>
  </si>
  <si>
    <t>FEBRUARY</t>
  </si>
  <si>
    <t>MARCH</t>
  </si>
  <si>
    <t>APRIL</t>
  </si>
  <si>
    <t>MAY</t>
  </si>
  <si>
    <t>TOTAL MONTH FEES PAID</t>
  </si>
  <si>
    <t xml:space="preserve">TOTAL PAID FEES AMOUNT </t>
  </si>
  <si>
    <t xml:space="preserve">MONTH </t>
  </si>
  <si>
    <t>TOTAL PAID FEES</t>
  </si>
  <si>
    <t>AMOUNT</t>
  </si>
  <si>
    <t xml:space="preserve">MARCH </t>
  </si>
  <si>
    <t>TOTAL PENDING FEES</t>
  </si>
  <si>
    <t>FEES</t>
  </si>
  <si>
    <t>FEES MONTH</t>
  </si>
  <si>
    <t xml:space="preserve">ENGLISH </t>
  </si>
  <si>
    <t>Y/N</t>
  </si>
  <si>
    <t xml:space="preserve">CHP NAME </t>
  </si>
  <si>
    <t>Where the Mind is Without Fear</t>
  </si>
  <si>
    <t>The Thief’s Story</t>
  </si>
  <si>
    <t>On Wings of Courage</t>
  </si>
  <si>
    <t>All the World’s a Stage</t>
  </si>
  <si>
    <t>Joan of Arc</t>
  </si>
  <si>
    <t>The Alchemy of Nature</t>
  </si>
  <si>
    <t>Animals</t>
  </si>
  <si>
    <t>Three Questions</t>
  </si>
  <si>
    <t>Connecting the Dots</t>
  </si>
  <si>
    <t>The Pulley</t>
  </si>
  <si>
    <t>Let’s March</t>
  </si>
  <si>
    <t>Science and Spirituality</t>
  </si>
  <si>
    <t>Night of the Scorpion</t>
  </si>
  <si>
    <t>The Night I Met Einstein</t>
  </si>
  <si>
    <t>Stephen Hawking</t>
  </si>
  <si>
    <t>The Will to Win</t>
  </si>
  <si>
    <t>Unbeatable Super Mom-Mary Kom</t>
  </si>
  <si>
    <t>The Concert</t>
  </si>
  <si>
    <t>A Thing of Beauty is a Joy For Ever</t>
  </si>
  <si>
    <t>The Luncheon</t>
  </si>
  <si>
    <t>World Heritage</t>
  </si>
  <si>
    <t>The Height of the Ridiculous</t>
  </si>
  <si>
    <t>The Old Man and The Sea : Book Review</t>
  </si>
  <si>
    <t>The Gift of the Magi</t>
  </si>
  <si>
    <t>CHP NO.</t>
  </si>
  <si>
    <t>HINDI</t>
  </si>
  <si>
    <t>भारत महिमा</t>
  </si>
  <si>
    <t>लक्ष्मी</t>
  </si>
  <si>
    <t>वाह रे! दर्द</t>
  </si>
  <si>
    <t>मन (एक पठन)</t>
  </si>
  <si>
    <t>गोवा : जैसा मैंने देखा</t>
  </si>
  <si>
    <t>गिरधर नागर</t>
  </si>
  <si>
    <t>खुला आकाश (एक पठन)</t>
  </si>
  <si>
    <t>ग़ज़ल</t>
  </si>
  <si>
    <t>गीत की हड्डी</t>
  </si>
  <si>
    <t>ठेस (एक पठन)</t>
  </si>
  <si>
    <t>कूक का गान</t>
  </si>
  <si>
    <t>वर्षा जलद</t>
  </si>
  <si>
    <t>दो लघुकथाएँ (एक पठन)</t>
  </si>
  <si>
    <t>श्रम साधना</t>
  </si>
  <si>
    <t>छापा</t>
  </si>
  <si>
    <t>ईमानदारी की प्रतिमूर्ति</t>
  </si>
  <si>
    <t>हम इस धरती के सन्तान हैं (एक पठन)</t>
  </si>
  <si>
    <t>महिला आश्रम</t>
  </si>
  <si>
    <t>अपनी गंध नहीं बेचूँगा</t>
  </si>
  <si>
    <t>जब तक जिंदा हूँ, लिखता हूँ</t>
  </si>
  <si>
    <t>बूढ़ी काकी (एक पठन)</t>
  </si>
  <si>
    <t>समता की ओर</t>
  </si>
  <si>
    <t>MARATHI</t>
  </si>
  <si>
    <t>MATHS-1</t>
  </si>
  <si>
    <t>Linear Equations in Two Variables</t>
  </si>
  <si>
    <t>Quadratic Equations</t>
  </si>
  <si>
    <t>Arithmetic Progression</t>
  </si>
  <si>
    <t>Financial Planning</t>
  </si>
  <si>
    <t>Probability</t>
  </si>
  <si>
    <t>Statistics</t>
  </si>
  <si>
    <t>MATHS-2</t>
  </si>
  <si>
    <t>Similarity</t>
  </si>
  <si>
    <t>Pythagoras Theorem</t>
  </si>
  <si>
    <t>Circle</t>
  </si>
  <si>
    <t>Geometric Construction</t>
  </si>
  <si>
    <t>Co-Ordinate Geometry</t>
  </si>
  <si>
    <t>Trigonometry</t>
  </si>
  <si>
    <t>Mensuration</t>
  </si>
  <si>
    <t>SCI-1</t>
  </si>
  <si>
    <t>Gravitation</t>
  </si>
  <si>
    <t>Periodic Classification of Element</t>
  </si>
  <si>
    <t>Chemical reactions and equations</t>
  </si>
  <si>
    <t>Effects of electric current</t>
  </si>
  <si>
    <t>Heat</t>
  </si>
  <si>
    <t>Refraction of light</t>
  </si>
  <si>
    <t>Lenses</t>
  </si>
  <si>
    <t>Metallurgy</t>
  </si>
  <si>
    <t>Carbon compounds</t>
  </si>
  <si>
    <t>Space Missions</t>
  </si>
  <si>
    <t>SCI-2</t>
  </si>
  <si>
    <t>Heredity and Evolution</t>
  </si>
  <si>
    <t>Life Processes in Living Organisms Part -1</t>
  </si>
  <si>
    <t>Life Processes in Living Organisms Part - 2</t>
  </si>
  <si>
    <t>Environmental management</t>
  </si>
  <si>
    <t>Towards Green Energy</t>
  </si>
  <si>
    <t>Animal Classification</t>
  </si>
  <si>
    <t>Introduction to Microbiology</t>
  </si>
  <si>
    <t>Cell Biology and Biotechnology</t>
  </si>
  <si>
    <t>Social health</t>
  </si>
  <si>
    <t>Disaster Management</t>
  </si>
  <si>
    <t>HISTORY &amp; POLITICAL SCI</t>
  </si>
  <si>
    <t>Historiography : Development in the West.</t>
  </si>
  <si>
    <t>Historiography : Indian Tradition</t>
  </si>
  <si>
    <t>Applied History</t>
  </si>
  <si>
    <t>History of Indian Arts</t>
  </si>
  <si>
    <t>Mass Media and History</t>
  </si>
  <si>
    <t>Entertainment and History</t>
  </si>
  <si>
    <t>Sports and History</t>
  </si>
  <si>
    <t>Tourism and History.</t>
  </si>
  <si>
    <t>Heritage Management</t>
  </si>
  <si>
    <t>Working of the Constitution</t>
  </si>
  <si>
    <t>The Electoral Process</t>
  </si>
  <si>
    <t>Political Parties.</t>
  </si>
  <si>
    <t>Social and Political Movements..</t>
  </si>
  <si>
    <t>Challenges faced by Indian Democracy</t>
  </si>
  <si>
    <t>GEOGRAPHY</t>
  </si>
  <si>
    <t>Field Visit</t>
  </si>
  <si>
    <t>Location and Extent</t>
  </si>
  <si>
    <t>Physiography and Drainage</t>
  </si>
  <si>
    <t>Climate</t>
  </si>
  <si>
    <t>Natural Vegetation and Wildlife</t>
  </si>
  <si>
    <t>Population</t>
  </si>
  <si>
    <t>Human Settlements</t>
  </si>
  <si>
    <t>Economy and Occupations</t>
  </si>
  <si>
    <t>Tourism, Transport and Communication</t>
  </si>
  <si>
    <t>Y</t>
  </si>
  <si>
    <t>N</t>
  </si>
  <si>
    <t>तू बुद्धी दे (प्रार्थना)</t>
  </si>
  <si>
    <t>2(a)</t>
  </si>
  <si>
    <t>2(b)</t>
  </si>
  <si>
    <t>संतवाणी (आ) योगी सर्वकाळ सुखदाता-संत एकनाथ</t>
  </si>
  <si>
    <t>संतवाणी (अ) अंकिला मी दास तुझा-संत नामदेव</t>
  </si>
  <si>
    <t>शाल</t>
  </si>
  <si>
    <t>उपास</t>
  </si>
  <si>
    <t>*</t>
  </si>
  <si>
    <t>दोन दिवस (कविता)</t>
  </si>
  <si>
    <t>चुडीवाला</t>
  </si>
  <si>
    <t>फूटप्रिन्टस</t>
  </si>
  <si>
    <t>ऊर्जाशक्तीचा जागर</t>
  </si>
  <si>
    <t>जाता अस्ताला (स्थूलवाचन)</t>
  </si>
  <si>
    <t>मोठे होत असलेल्या मुलांनो..(स्थूलवाचन)</t>
  </si>
  <si>
    <t>औक्षण (कविता)</t>
  </si>
  <si>
    <t>रंग साहित्याचे</t>
  </si>
  <si>
    <t>जंगल डायरी</t>
  </si>
  <si>
    <t>रंग मजेचे रंग उदयाचे (कविता)</t>
  </si>
  <si>
    <t>जगणं कॅक्टसचं (स्थूलवाचन)</t>
  </si>
  <si>
    <t>हिरवंगार झाडासारखं (कविता)</t>
  </si>
  <si>
    <t>बीज पेरले गेले</t>
  </si>
  <si>
    <t>खरा नागरिक</t>
  </si>
  <si>
    <t>स्वप्न करू साकार (कविता)</t>
  </si>
  <si>
    <t>व्युत्पत्ती कोश (स्थूलवाचन)</t>
  </si>
  <si>
    <t>IQRA</t>
  </si>
  <si>
    <t>0th</t>
  </si>
  <si>
    <t>4th</t>
  </si>
  <si>
    <t>1st</t>
  </si>
  <si>
    <t>8th</t>
  </si>
  <si>
    <t xml:space="preserve">ACTIVE </t>
  </si>
  <si>
    <t xml:space="preserve">ZEEDAN </t>
  </si>
  <si>
    <t>BILAL</t>
  </si>
  <si>
    <t>9th</t>
  </si>
  <si>
    <t>6th</t>
  </si>
  <si>
    <t>10th</t>
  </si>
  <si>
    <t xml:space="preserve">ANKITA </t>
  </si>
  <si>
    <t>5th</t>
  </si>
  <si>
    <t>3rd</t>
  </si>
  <si>
    <t>-</t>
  </si>
  <si>
    <t>2nd</t>
  </si>
  <si>
    <t>Jr.kg/Sr.kg</t>
  </si>
  <si>
    <t>ANC</t>
  </si>
  <si>
    <t>JIYA</t>
  </si>
  <si>
    <t>LEAVE DATE</t>
  </si>
  <si>
    <t>PAID</t>
  </si>
  <si>
    <t xml:space="preserve">SHORT FORM </t>
  </si>
  <si>
    <t>FULL FORM</t>
  </si>
  <si>
    <t>TMFP</t>
  </si>
  <si>
    <t>TPFA</t>
  </si>
  <si>
    <t>TMUPF</t>
  </si>
  <si>
    <t>TUPFA</t>
  </si>
  <si>
    <t>TOTAL MONTH UNPAID FEES</t>
  </si>
  <si>
    <t>TOTAL UNPAID FEES AMOUNT</t>
  </si>
  <si>
    <t>STUDENTS NAME GIVING YEARLY FEES : 2026-27</t>
  </si>
  <si>
    <t>GROUP 1</t>
  </si>
  <si>
    <t>GROUP 2</t>
  </si>
  <si>
    <t>GROUP 3</t>
  </si>
  <si>
    <t>GROUP 4</t>
  </si>
  <si>
    <t>GROUP NO.</t>
  </si>
  <si>
    <t>TOTAL MONTHS</t>
  </si>
  <si>
    <t>TOTAL FEES</t>
  </si>
  <si>
    <t>FINAL YEARLY FEES AMOUNTS GROUP WISE</t>
  </si>
  <si>
    <t>ADMITTED NOT COMING</t>
  </si>
  <si>
    <t>GROUP 5</t>
  </si>
  <si>
    <t>PERCENTAGE</t>
  </si>
  <si>
    <t xml:space="preserve">LEFT </t>
  </si>
  <si>
    <t>MOR/EVE</t>
  </si>
  <si>
    <t>MORNING</t>
  </si>
  <si>
    <t>EVENING</t>
  </si>
  <si>
    <t>MOR</t>
  </si>
  <si>
    <t>EVE</t>
  </si>
  <si>
    <t>LEFT</t>
  </si>
  <si>
    <t xml:space="preserve">NIKHIL </t>
  </si>
  <si>
    <t xml:space="preserve">SATYAM </t>
  </si>
  <si>
    <t>SARTHAK</t>
  </si>
  <si>
    <t>UNPAID</t>
  </si>
  <si>
    <t>NOT CAME</t>
  </si>
  <si>
    <t>SHALINI</t>
  </si>
  <si>
    <t>DUE DATE</t>
  </si>
  <si>
    <t>FEES DETAILS : 2026 - 2027</t>
  </si>
  <si>
    <t>JUNE FEES CALCULATION</t>
  </si>
  <si>
    <t>PAYMENT MODE</t>
  </si>
  <si>
    <t xml:space="preserve">UPI </t>
  </si>
  <si>
    <t>FEES RECEIVED IN JUNE MONTH</t>
  </si>
  <si>
    <t xml:space="preserve">MONTLY FEES RECEIVED : 2026 - 2027 </t>
  </si>
  <si>
    <t>FEES RECEIVED IN JULY MONTH</t>
  </si>
  <si>
    <t>JULY FEES CALCULATION</t>
  </si>
  <si>
    <t xml:space="preserve">CASH </t>
  </si>
  <si>
    <t>SR. NO.</t>
  </si>
  <si>
    <t xml:space="preserve">NAME </t>
  </si>
  <si>
    <t xml:space="preserve">TOTAL MARKS </t>
  </si>
  <si>
    <t>MARKS OBT.</t>
  </si>
  <si>
    <t xml:space="preserve">NAYRA </t>
  </si>
  <si>
    <t>TEST NO :- 01</t>
  </si>
  <si>
    <t>TEST NO :- 02</t>
  </si>
  <si>
    <t>TEST NO :- 03</t>
  </si>
  <si>
    <t>TEST 01</t>
  </si>
  <si>
    <t>TEST 02</t>
  </si>
  <si>
    <t>TEST 03</t>
  </si>
  <si>
    <t>TEST 04</t>
  </si>
  <si>
    <t>TEST 05</t>
  </si>
  <si>
    <t>TEST 06</t>
  </si>
  <si>
    <t>TEST 07</t>
  </si>
  <si>
    <t>TEST 08</t>
  </si>
  <si>
    <t>TEST 09</t>
  </si>
  <si>
    <t>TEST 10</t>
  </si>
  <si>
    <t>OVERALL %</t>
  </si>
  <si>
    <t>GROUP 6</t>
  </si>
  <si>
    <t>DISCOUNT</t>
  </si>
  <si>
    <t>FINAL AMOUNT</t>
  </si>
  <si>
    <t>DATE</t>
  </si>
  <si>
    <t>SUBJECT</t>
  </si>
  <si>
    <t>CHAPTERS</t>
  </si>
  <si>
    <t>MARKS</t>
  </si>
  <si>
    <t>TIME</t>
  </si>
  <si>
    <t>DAY</t>
  </si>
  <si>
    <t>WEDNESDAY</t>
  </si>
  <si>
    <t>GEOMETRY</t>
  </si>
  <si>
    <t>2 HOURS</t>
  </si>
  <si>
    <t>SATURDAY</t>
  </si>
  <si>
    <t>HISTORY</t>
  </si>
  <si>
    <t>1.5 HOURS</t>
  </si>
  <si>
    <t>MONDAY</t>
  </si>
  <si>
    <t>ALGEBRA</t>
  </si>
  <si>
    <t>EXAM TIME-TABLE : 2026 - 2027</t>
  </si>
  <si>
    <t>ANKITA</t>
  </si>
  <si>
    <t>GRAPH VISUALIZATION : 2026 - 2027</t>
  </si>
  <si>
    <t xml:space="preserve">TOTAL FEES </t>
  </si>
  <si>
    <t>TOTAL</t>
  </si>
  <si>
    <t>ACTIVE/YEARLY/MONTLY FEES</t>
  </si>
  <si>
    <t>SHORT FORM / FULL FORM</t>
  </si>
  <si>
    <t>FEES CHECKER</t>
  </si>
  <si>
    <t>SHAALU</t>
  </si>
  <si>
    <t>PAID DATE</t>
  </si>
  <si>
    <t>TEST NO :- 04</t>
  </si>
  <si>
    <t>KARISHMA</t>
  </si>
  <si>
    <t>1 HOUR</t>
  </si>
  <si>
    <t xml:space="preserve">2 HOUR </t>
  </si>
  <si>
    <t>1.15 HOUR</t>
  </si>
  <si>
    <t>1.30 HOUR</t>
  </si>
  <si>
    <t>FRIDAY</t>
  </si>
  <si>
    <t>ACTIVE STUDENTS</t>
  </si>
  <si>
    <t>LEFT STUDENTS</t>
  </si>
  <si>
    <t>TOTAL ANC</t>
  </si>
  <si>
    <t>ACTIVE FEES</t>
  </si>
  <si>
    <t>YEARLY FEES</t>
  </si>
  <si>
    <t>LEFT FEES</t>
  </si>
  <si>
    <t xml:space="preserve">TOTAL PAID FEES </t>
  </si>
  <si>
    <t>MONTH WISE  PAID</t>
  </si>
  <si>
    <t>📚 TUITION MANAGEMENT DASHBOARD TWO 2026 - 2027</t>
  </si>
  <si>
    <t>📚 TUITION MANAGEMENT DASHBOARD ONE 2026 - 2027</t>
  </si>
  <si>
    <t xml:space="preserve">TOTAL AMOUNT </t>
  </si>
  <si>
    <t xml:space="preserve">TOTAL LEFT AMOUNT </t>
  </si>
  <si>
    <t xml:space="preserve">TOTAL ANC AMOUNT </t>
  </si>
  <si>
    <t>TOTAL ACTIVE AMOUNT</t>
  </si>
  <si>
    <t>MONTH WISE PENDING</t>
  </si>
  <si>
    <t>MONTLY FEES</t>
  </si>
  <si>
    <t>PENDING FEES EXCLUDING YEARLY FEES</t>
  </si>
  <si>
    <t>PFEYF</t>
  </si>
  <si>
    <t>MATHS TEST RECORD : 2026 - 2027</t>
  </si>
  <si>
    <t>MATHS TEST SUMMARY : 2026 - 2027</t>
  </si>
  <si>
    <t>10TH STD ALL SUBJECT CHAPTER WISE TRACKER  : 2026 - 2027</t>
  </si>
  <si>
    <t>CRNT MONTH PNDG FEES</t>
  </si>
  <si>
    <t>CRNT MONTH PAID FEES</t>
  </si>
  <si>
    <t>PAID FEES</t>
  </si>
  <si>
    <t>UNPAID FEES</t>
  </si>
  <si>
    <t>MARATHI GRAMMAR</t>
  </si>
  <si>
    <t xml:space="preserve">TOPIC </t>
  </si>
  <si>
    <t>वाक् प्रचार (2 of 3) (4M)</t>
  </si>
  <si>
    <t>वाक्यांच े प्रकार (2 of 2) (2M)</t>
  </si>
  <si>
    <t>वाक्य रुपांतर (2 of 2) (2M)</t>
  </si>
  <si>
    <t>समानार्थी (2 of 2) (1M)</t>
  </si>
  <si>
    <t>विरुद्धार्थी (2 of 2) (1M)</t>
  </si>
  <si>
    <t>वचन (2 of 2) (1M)</t>
  </si>
  <si>
    <t>शब्दसमूहबदल (1 of 1) (1M)</t>
  </si>
  <si>
    <t>लेखनियमानुसार लेखन (2 of 2) (2M)</t>
  </si>
  <si>
    <t>विरामचिन्ह (2 of 2) (2M)</t>
  </si>
  <si>
    <t>MARATHI WRITING SKILL</t>
  </si>
  <si>
    <t>निबंध लेखन (8m)</t>
  </si>
  <si>
    <t>जाहिरात लेखन (5M)</t>
  </si>
  <si>
    <t>बातमी लेखन (5M)</t>
  </si>
  <si>
    <t>कथा लेखन (5M)</t>
  </si>
  <si>
    <t>पत्र लेखन (6M)</t>
  </si>
  <si>
    <t>सारांश लेखन (6M)</t>
  </si>
  <si>
    <t>HINDI GRAMMAR</t>
  </si>
  <si>
    <t>HINDI WRITING SKILL</t>
  </si>
  <si>
    <t>शब्द भेद (1m)</t>
  </si>
  <si>
    <t>अव्यय (1 of 2) (1m)</t>
  </si>
  <si>
    <t>संध ि (1 of 2) (1m)</t>
  </si>
  <si>
    <t>सहायकक्रिय (1 of 2) (1m)</t>
  </si>
  <si>
    <t>प्रेरणार्थक क्रिया (1 of 2) (1m)</t>
  </si>
  <si>
    <t>मुहावरे (1 of 2) (1m)</t>
  </si>
  <si>
    <t>कारक (1 of 2) (1m)</t>
  </si>
  <si>
    <t>विरंचिन्ह (1m)</t>
  </si>
  <si>
    <t>काल परिवर्तन (2 of 3) (2m</t>
  </si>
  <si>
    <t>वाक्य भेद (रचना और अर्थ के आधार पर) (2m)</t>
  </si>
  <si>
    <t>वाक्य शुद्ध कर के लिखिए (2 of 3) (2m)</t>
  </si>
  <si>
    <t>पत्र लेखन (1 of 2) (5m)</t>
  </si>
  <si>
    <t>गद्य आकलन (5m)</t>
  </si>
  <si>
    <t>वृतान्त लेखन अथवा कहानी लेखन (5m)</t>
  </si>
  <si>
    <t>विज्ञापन लेखन (5m)</t>
  </si>
  <si>
    <t>निबंध लेखन (1 of 3) (7m)</t>
  </si>
  <si>
    <t>TOTAL STUDENTS ADMITTED</t>
  </si>
  <si>
    <t>TOTAL PAID</t>
  </si>
  <si>
    <t>TOTAL PENDING</t>
  </si>
  <si>
    <t>FEES RECEIVED IN AUGUST MONTH</t>
  </si>
  <si>
    <t>AUGUST FEES CALCULATION</t>
  </si>
  <si>
    <t>📚 ALL STUDENTS ADMISSION DETAIL : 2026 - 2027</t>
  </si>
  <si>
    <t>ADMISSION DIVISION INTO LEFT / ACTIVE / ANC</t>
  </si>
  <si>
    <t>ACTIVE</t>
  </si>
  <si>
    <t>Row Labels</t>
  </si>
  <si>
    <t>Grand Total</t>
  </si>
  <si>
    <t>Column Labels</t>
  </si>
  <si>
    <t>ADMISSION DETAIL</t>
  </si>
  <si>
    <t>Sum of FEES AMOUNT</t>
  </si>
  <si>
    <t>Sum of MONTHLY FEES</t>
  </si>
  <si>
    <t>FEES DETAIL</t>
  </si>
  <si>
    <t>📚 TUITION MANAGEMENT DASHBOARD THREE 2026 - 2027</t>
  </si>
  <si>
    <t>Student 5</t>
  </si>
  <si>
    <t>Student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</si>
</sst>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_ [$₹-4009]\ * #,##0.00_ ;_ [$₹-4009]\ * \-#,##0.00_ ;_ [$₹-4009]\ * &quot;-&quot;??_ ;_ @_ "/>
    <numFmt numFmtId="165" formatCode="&quot;₹&quot;\ #,##0.00"/>
    <numFmt numFmtId="166" formatCode="[$₹-4009]\ #,##0.00"/>
    <numFmt numFmtId="167" formatCode="[$-14009]dddd\,\ d\ mmmm\,\ yyyy;@"/>
    <numFmt numFmtId="168" formatCode="[$-F800]dddd\,\ mmmm\ dd\,\ yyyy"/>
  </numFmts>
  <fonts count="24">
    <font>
      <sz val="11"/>
      <color theme="1"/>
      <name val="Calibri"/>
      <family val="2"/>
      <scheme val="minor"/>
    </font>
    <font>
      <sz val="11"/>
      <color theme="1"/>
      <name val="Calibri"/>
      <family val="2"/>
      <scheme val="minor"/>
    </font>
    <font>
      <b/>
      <sz val="12"/>
      <color theme="1"/>
      <name val="Times New Roman"/>
      <family val="1"/>
    </font>
    <font>
      <b/>
      <sz val="36"/>
      <color theme="0"/>
      <name val="Times New Roman"/>
      <family val="1"/>
    </font>
    <font>
      <sz val="8"/>
      <name val="Calibri"/>
      <family val="2"/>
      <scheme val="minor"/>
    </font>
    <font>
      <b/>
      <sz val="15"/>
      <color theme="0"/>
      <name val="Times New Roman"/>
      <family val="1"/>
    </font>
    <font>
      <b/>
      <sz val="24"/>
      <color theme="0"/>
      <name val="Aptos"/>
    </font>
    <font>
      <b/>
      <sz val="20"/>
      <color theme="0"/>
      <name val="APTOS"/>
    </font>
    <font>
      <b/>
      <sz val="12"/>
      <color theme="1"/>
      <name val="APTOS"/>
    </font>
    <font>
      <b/>
      <sz val="16"/>
      <color theme="0"/>
      <name val="APTOS"/>
    </font>
    <font>
      <b/>
      <sz val="50"/>
      <color theme="0"/>
      <name val="APTOS"/>
    </font>
    <font>
      <b/>
      <sz val="40"/>
      <color theme="0"/>
      <name val="APTOS"/>
    </font>
    <font>
      <b/>
      <sz val="36"/>
      <color theme="0"/>
      <name val="APTOS"/>
    </font>
    <font>
      <b/>
      <sz val="11"/>
      <color theme="1"/>
      <name val="APTOS"/>
    </font>
    <font>
      <b/>
      <sz val="18"/>
      <color theme="0"/>
      <name val="APTOS"/>
    </font>
    <font>
      <sz val="12"/>
      <color theme="1"/>
      <name val="APTOS"/>
    </font>
    <font>
      <b/>
      <sz val="13.6"/>
      <color theme="0"/>
      <name val="APTOS"/>
    </font>
    <font>
      <b/>
      <sz val="12"/>
      <color theme="0"/>
      <name val="APTOS"/>
    </font>
    <font>
      <b/>
      <sz val="16"/>
      <color theme="1"/>
      <name val="APTOS"/>
    </font>
    <font>
      <b/>
      <sz val="12"/>
      <color theme="2" tint="-0.89999084444715716"/>
      <name val="APTOS"/>
    </font>
    <font>
      <b/>
      <sz val="15"/>
      <color theme="1"/>
      <name val="APTOS"/>
    </font>
    <font>
      <b/>
      <sz val="12"/>
      <color theme="1" tint="4.9989318521683403E-2"/>
      <name val="APTOS"/>
    </font>
    <font>
      <b/>
      <sz val="12"/>
      <name val="APTOS"/>
    </font>
    <font>
      <b/>
      <sz val="20"/>
      <color theme="1"/>
      <name val="APTOS"/>
    </font>
  </fonts>
  <fills count="26">
    <fill>
      <patternFill patternType="none"/>
    </fill>
    <fill>
      <patternFill patternType="gray125"/>
    </fill>
    <fill>
      <patternFill patternType="solid">
        <fgColor rgb="FF002060"/>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5"/>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0070C0"/>
        <bgColor indexed="64"/>
      </patternFill>
    </fill>
    <fill>
      <patternFill patternType="solid">
        <fgColor rgb="FFFF0000"/>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2" tint="-0.749992370372631"/>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rgb="FF1E3A8A"/>
        <bgColor indexed="64"/>
      </patternFill>
    </fill>
    <fill>
      <patternFill patternType="solid">
        <fgColor theme="0" tint="-0.499984740745262"/>
        <bgColor indexed="64"/>
      </patternFill>
    </fill>
    <fill>
      <patternFill patternType="solid">
        <fgColor theme="8" tint="-0.499984740745262"/>
        <bgColor indexed="64"/>
      </patternFill>
    </fill>
    <fill>
      <patternFill patternType="solid">
        <fgColor theme="4"/>
        <bgColor indexed="64"/>
      </patternFill>
    </fill>
    <fill>
      <patternFill patternType="solid">
        <fgColor theme="1" tint="0.34998626667073579"/>
        <bgColor indexed="64"/>
      </patternFill>
    </fill>
    <fill>
      <patternFill patternType="solid">
        <fgColor rgb="FFFFC000"/>
        <bgColor indexed="64"/>
      </patternFill>
    </fill>
    <fill>
      <patternFill patternType="solid">
        <fgColor theme="5" tint="0.39997558519241921"/>
        <bgColor indexed="64"/>
      </patternFill>
    </fill>
    <fill>
      <patternFill patternType="solid">
        <fgColor theme="5" tint="-0.499984740745262"/>
        <bgColor indexed="64"/>
      </patternFill>
    </fill>
    <fill>
      <patternFill patternType="solid">
        <fgColor theme="1"/>
        <bgColor indexed="64"/>
      </patternFill>
    </fill>
  </fills>
  <borders count="36">
    <border>
      <left/>
      <right/>
      <top/>
      <bottom/>
      <diagonal/>
    </border>
    <border>
      <left style="thin">
        <color rgb="FF505050"/>
      </left>
      <right style="thin">
        <color rgb="FF505050"/>
      </right>
      <top style="thin">
        <color rgb="FF505050"/>
      </top>
      <bottom style="thin">
        <color rgb="FF505050"/>
      </bottom>
      <diagonal/>
    </border>
    <border>
      <left/>
      <right style="thin">
        <color rgb="FF505050"/>
      </right>
      <top style="thin">
        <color rgb="FF505050"/>
      </top>
      <bottom style="thin">
        <color rgb="FF50505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505050"/>
      </left>
      <right style="thin">
        <color rgb="FF505050"/>
      </right>
      <top style="thin">
        <color rgb="FF505050"/>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20">
    <xf numFmtId="0" fontId="0" fillId="0" borderId="0" xfId="0"/>
    <xf numFmtId="0" fontId="2" fillId="0" borderId="3" xfId="0" applyFont="1" applyBorder="1" applyAlignment="1">
      <alignment horizontal="center" vertical="center"/>
    </xf>
    <xf numFmtId="0" fontId="3" fillId="2" borderId="0" xfId="0" applyFont="1" applyFill="1" applyAlignment="1">
      <alignment vertical="center"/>
    </xf>
    <xf numFmtId="0" fontId="2" fillId="0" borderId="0" xfId="0" applyFont="1" applyAlignment="1">
      <alignment horizontal="center" vertical="center"/>
    </xf>
    <xf numFmtId="0" fontId="2" fillId="5" borderId="3" xfId="0" applyFont="1" applyFill="1" applyBorder="1" applyAlignment="1">
      <alignment horizontal="center" vertical="center"/>
    </xf>
    <xf numFmtId="0" fontId="2" fillId="0" borderId="0" xfId="0" applyFont="1" applyAlignment="1">
      <alignment vertical="center"/>
    </xf>
    <xf numFmtId="168" fontId="2" fillId="5" borderId="3" xfId="0" applyNumberFormat="1" applyFont="1" applyFill="1" applyBorder="1" applyAlignment="1">
      <alignment horizontal="center" vertical="center"/>
    </xf>
    <xf numFmtId="168" fontId="2" fillId="0" borderId="0" xfId="0" applyNumberFormat="1" applyFont="1" applyAlignment="1">
      <alignment horizontal="center" vertical="center"/>
    </xf>
    <xf numFmtId="0" fontId="5" fillId="0" borderId="0" xfId="0" applyFont="1"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12" fillId="0" borderId="0" xfId="0" applyFont="1" applyAlignment="1">
      <alignment vertical="center"/>
    </xf>
    <xf numFmtId="0" fontId="12" fillId="0" borderId="0" xfId="0" applyFont="1" applyAlignment="1">
      <alignment horizontal="center" vertical="center"/>
    </xf>
    <xf numFmtId="0" fontId="13" fillId="0" borderId="0" xfId="0" applyFont="1" applyAlignment="1">
      <alignment horizontal="center" vertical="center"/>
    </xf>
    <xf numFmtId="0" fontId="8" fillId="10" borderId="3" xfId="0" applyFont="1" applyFill="1" applyBorder="1" applyAlignment="1">
      <alignment horizontal="center" vertical="center"/>
    </xf>
    <xf numFmtId="0" fontId="15" fillId="0" borderId="0" xfId="0" applyFont="1" applyAlignment="1">
      <alignment horizontal="center" vertical="center"/>
    </xf>
    <xf numFmtId="0" fontId="8" fillId="22" borderId="3" xfId="0" applyFont="1" applyFill="1" applyBorder="1" applyAlignment="1">
      <alignment horizontal="center" vertical="center"/>
    </xf>
    <xf numFmtId="0" fontId="17" fillId="21" borderId="3" xfId="0" applyFont="1" applyFill="1" applyBorder="1" applyAlignment="1">
      <alignment horizontal="center" vertical="center"/>
    </xf>
    <xf numFmtId="0" fontId="8" fillId="23" borderId="3" xfId="0" applyFont="1" applyFill="1" applyBorder="1" applyAlignment="1">
      <alignment horizontal="center" vertical="center"/>
    </xf>
    <xf numFmtId="166" fontId="8" fillId="23" borderId="3" xfId="0" applyNumberFormat="1" applyFont="1" applyFill="1" applyBorder="1" applyAlignment="1">
      <alignment horizontal="center" vertical="center"/>
    </xf>
    <xf numFmtId="0" fontId="8" fillId="22" borderId="11" xfId="0" applyFont="1" applyFill="1" applyBorder="1" applyAlignment="1">
      <alignment horizontal="center" vertical="center"/>
    </xf>
    <xf numFmtId="0" fontId="17" fillId="21" borderId="11" xfId="0" applyFont="1" applyFill="1" applyBorder="1" applyAlignment="1">
      <alignment horizontal="center" vertical="center"/>
    </xf>
    <xf numFmtId="0" fontId="8" fillId="2" borderId="0" xfId="0" applyFont="1" applyFill="1" applyAlignment="1">
      <alignment horizontal="center" vertical="center"/>
    </xf>
    <xf numFmtId="0" fontId="8" fillId="0" borderId="8" xfId="0" applyFont="1" applyBorder="1" applyAlignment="1">
      <alignment horizontal="center" vertical="center"/>
    </xf>
    <xf numFmtId="165" fontId="8" fillId="0" borderId="8" xfId="1" applyNumberFormat="1" applyFont="1" applyBorder="1" applyAlignment="1">
      <alignment horizontal="center" vertical="center"/>
    </xf>
    <xf numFmtId="167" fontId="8" fillId="0" borderId="8" xfId="0" applyNumberFormat="1" applyFont="1" applyBorder="1" applyAlignment="1">
      <alignment horizontal="center" vertical="center"/>
    </xf>
    <xf numFmtId="168" fontId="8" fillId="0" borderId="8" xfId="0" applyNumberFormat="1" applyFont="1" applyBorder="1" applyAlignment="1">
      <alignment horizontal="center" vertical="center"/>
    </xf>
    <xf numFmtId="0" fontId="8" fillId="0" borderId="3" xfId="0" applyFont="1" applyBorder="1" applyAlignment="1">
      <alignment horizontal="center" vertical="center"/>
    </xf>
    <xf numFmtId="165" fontId="8" fillId="0" borderId="3" xfId="1" applyNumberFormat="1" applyFont="1" applyBorder="1" applyAlignment="1">
      <alignment horizontal="center" vertical="center"/>
    </xf>
    <xf numFmtId="167" fontId="8" fillId="0" borderId="3" xfId="0" applyNumberFormat="1" applyFont="1" applyBorder="1" applyAlignment="1">
      <alignment horizontal="center" vertical="center"/>
    </xf>
    <xf numFmtId="168" fontId="8" fillId="0" borderId="3" xfId="0" applyNumberFormat="1" applyFont="1" applyBorder="1" applyAlignment="1">
      <alignment horizontal="center" vertical="center"/>
    </xf>
    <xf numFmtId="165" fontId="8" fillId="0" borderId="0" xfId="0" applyNumberFormat="1" applyFont="1" applyAlignment="1">
      <alignment horizontal="center" vertical="center"/>
    </xf>
    <xf numFmtId="0" fontId="8" fillId="3" borderId="3" xfId="0" applyFont="1" applyFill="1" applyBorder="1" applyAlignment="1">
      <alignment horizontal="center" vertical="center"/>
    </xf>
    <xf numFmtId="0" fontId="8" fillId="4" borderId="3" xfId="0" applyFont="1" applyFill="1" applyBorder="1" applyAlignment="1">
      <alignment horizontal="center" vertical="center"/>
    </xf>
    <xf numFmtId="0" fontId="8" fillId="0" borderId="0" xfId="0" applyFont="1" applyAlignment="1">
      <alignment horizontal="left" vertical="center"/>
    </xf>
    <xf numFmtId="165" fontId="8" fillId="0" borderId="0" xfId="1" applyNumberFormat="1" applyFont="1" applyAlignment="1">
      <alignment horizontal="center" vertical="center"/>
    </xf>
    <xf numFmtId="0" fontId="12" fillId="2" borderId="0" xfId="0" applyFont="1" applyFill="1" applyAlignment="1">
      <alignment vertical="center"/>
    </xf>
    <xf numFmtId="0" fontId="17" fillId="2" borderId="0" xfId="0" applyFont="1" applyFill="1" applyAlignment="1">
      <alignment vertical="center"/>
    </xf>
    <xf numFmtId="164" fontId="17" fillId="2" borderId="0" xfId="0" applyNumberFormat="1" applyFont="1" applyFill="1" applyAlignment="1">
      <alignment vertical="center"/>
    </xf>
    <xf numFmtId="164" fontId="8" fillId="0" borderId="0" xfId="0" applyNumberFormat="1" applyFont="1" applyAlignment="1">
      <alignment horizontal="center" vertical="center"/>
    </xf>
    <xf numFmtId="0" fontId="17" fillId="0" borderId="0" xfId="0" applyFont="1" applyAlignment="1">
      <alignment horizontal="center" vertical="center"/>
    </xf>
    <xf numFmtId="165" fontId="8" fillId="0" borderId="3" xfId="0" applyNumberFormat="1" applyFont="1" applyBorder="1" applyAlignment="1">
      <alignment horizontal="center" vertical="center"/>
    </xf>
    <xf numFmtId="166" fontId="8" fillId="0" borderId="0" xfId="0" applyNumberFormat="1" applyFont="1" applyAlignment="1">
      <alignment horizontal="center" vertical="center"/>
    </xf>
    <xf numFmtId="0" fontId="8" fillId="13" borderId="3" xfId="0" applyFont="1" applyFill="1" applyBorder="1" applyAlignment="1">
      <alignment horizontal="center" vertical="center"/>
    </xf>
    <xf numFmtId="165" fontId="8" fillId="13" borderId="3" xfId="0" applyNumberFormat="1" applyFont="1" applyFill="1" applyBorder="1" applyAlignment="1">
      <alignment horizontal="center" vertical="center"/>
    </xf>
    <xf numFmtId="0" fontId="8" fillId="14" borderId="3" xfId="0" applyFont="1" applyFill="1" applyBorder="1" applyAlignment="1">
      <alignment horizontal="center" vertical="center"/>
    </xf>
    <xf numFmtId="165" fontId="8" fillId="14" borderId="3" xfId="0" applyNumberFormat="1" applyFont="1" applyFill="1" applyBorder="1" applyAlignment="1">
      <alignment horizontal="center" vertical="center"/>
    </xf>
    <xf numFmtId="165" fontId="8" fillId="4" borderId="3" xfId="0" applyNumberFormat="1" applyFont="1" applyFill="1" applyBorder="1" applyAlignment="1">
      <alignment horizontal="center" vertical="center"/>
    </xf>
    <xf numFmtId="0" fontId="17" fillId="2" borderId="0" xfId="0" applyFont="1" applyFill="1" applyAlignment="1">
      <alignment horizontal="center" vertical="center"/>
    </xf>
    <xf numFmtId="0" fontId="8" fillId="0" borderId="4" xfId="0" applyFont="1" applyBorder="1" applyAlignment="1">
      <alignment horizontal="center" vertical="center"/>
    </xf>
    <xf numFmtId="165" fontId="8" fillId="0" borderId="0" xfId="1" applyNumberFormat="1" applyFont="1" applyFill="1" applyBorder="1" applyAlignment="1">
      <alignment horizontal="center" vertical="center"/>
    </xf>
    <xf numFmtId="0" fontId="18" fillId="0" borderId="0" xfId="0" applyFont="1" applyAlignment="1">
      <alignment vertical="center"/>
    </xf>
    <xf numFmtId="0" fontId="8" fillId="0" borderId="9" xfId="0" applyFont="1" applyBorder="1" applyAlignment="1">
      <alignment horizontal="center" vertical="center"/>
    </xf>
    <xf numFmtId="0" fontId="8" fillId="0" borderId="11" xfId="0" applyFont="1" applyBorder="1" applyAlignment="1">
      <alignment horizontal="center" vertical="center"/>
    </xf>
    <xf numFmtId="0" fontId="8" fillId="0" borderId="10" xfId="0" applyFont="1" applyBorder="1" applyAlignment="1">
      <alignment horizontal="center" vertical="center"/>
    </xf>
    <xf numFmtId="9" fontId="8" fillId="0" borderId="10" xfId="2" applyFont="1" applyBorder="1" applyAlignment="1">
      <alignment horizontal="center" vertical="center"/>
    </xf>
    <xf numFmtId="0" fontId="8" fillId="0" borderId="6" xfId="0" applyFont="1" applyBorder="1" applyAlignment="1">
      <alignment horizontal="center" vertical="center"/>
    </xf>
    <xf numFmtId="9" fontId="8" fillId="0" borderId="7" xfId="2" applyFont="1" applyBorder="1" applyAlignment="1">
      <alignment horizontal="center" vertical="center"/>
    </xf>
    <xf numFmtId="0" fontId="8" fillId="0" borderId="5" xfId="0" applyFont="1" applyBorder="1" applyAlignment="1">
      <alignment horizontal="center" vertical="center"/>
    </xf>
    <xf numFmtId="9" fontId="8" fillId="0" borderId="13" xfId="2" applyFont="1" applyBorder="1" applyAlignment="1">
      <alignment horizontal="center" vertical="center"/>
    </xf>
    <xf numFmtId="0" fontId="19" fillId="0" borderId="0" xfId="0" applyFont="1" applyAlignment="1">
      <alignment horizontal="center" vertical="center"/>
    </xf>
    <xf numFmtId="16" fontId="8" fillId="15" borderId="3" xfId="0" applyNumberFormat="1" applyFont="1" applyFill="1" applyBorder="1" applyAlignment="1">
      <alignment horizontal="center" vertical="center"/>
    </xf>
    <xf numFmtId="16" fontId="8" fillId="16" borderId="3" xfId="0" applyNumberFormat="1" applyFont="1" applyFill="1" applyBorder="1" applyAlignment="1">
      <alignment horizontal="center" vertical="center"/>
    </xf>
    <xf numFmtId="168" fontId="8" fillId="0" borderId="3" xfId="0" quotePrefix="1" applyNumberFormat="1" applyFont="1" applyBorder="1" applyAlignment="1">
      <alignment horizontal="center" vertical="center"/>
    </xf>
    <xf numFmtId="16" fontId="8" fillId="0" borderId="3" xfId="0" applyNumberFormat="1" applyFont="1" applyBorder="1" applyAlignment="1">
      <alignment horizontal="center" vertical="center"/>
    </xf>
    <xf numFmtId="0" fontId="8" fillId="0" borderId="7" xfId="0" applyFont="1" applyBorder="1" applyAlignment="1">
      <alignment horizontal="center" vertical="center"/>
    </xf>
    <xf numFmtId="168" fontId="8" fillId="0" borderId="0" xfId="0" applyNumberFormat="1" applyFont="1" applyAlignment="1">
      <alignment horizontal="center" vertical="center"/>
    </xf>
    <xf numFmtId="165" fontId="8" fillId="0" borderId="4" xfId="0" applyNumberFormat="1" applyFont="1" applyBorder="1" applyAlignment="1">
      <alignment horizontal="center" vertical="center"/>
    </xf>
    <xf numFmtId="16" fontId="8" fillId="0" borderId="4" xfId="0" applyNumberFormat="1" applyFont="1" applyBorder="1" applyAlignment="1">
      <alignment horizontal="center" vertical="center"/>
    </xf>
    <xf numFmtId="168" fontId="8" fillId="0" borderId="4" xfId="0" applyNumberFormat="1" applyFont="1" applyBorder="1" applyAlignment="1">
      <alignment horizontal="center" vertical="center"/>
    </xf>
    <xf numFmtId="0" fontId="8" fillId="0" borderId="13" xfId="0" applyFont="1" applyBorder="1" applyAlignment="1">
      <alignment horizontal="center" vertical="center"/>
    </xf>
    <xf numFmtId="0" fontId="8" fillId="21" borderId="9" xfId="0" applyFont="1" applyFill="1" applyBorder="1" applyAlignment="1">
      <alignment horizontal="center" vertical="center"/>
    </xf>
    <xf numFmtId="0" fontId="8" fillId="21" borderId="11" xfId="0" applyFont="1" applyFill="1" applyBorder="1" applyAlignment="1">
      <alignment horizontal="center" vertical="center"/>
    </xf>
    <xf numFmtId="0" fontId="8" fillId="21" borderId="10" xfId="0" applyFont="1" applyFill="1" applyBorder="1" applyAlignment="1">
      <alignment horizontal="center" vertical="center"/>
    </xf>
    <xf numFmtId="0" fontId="17" fillId="21" borderId="9" xfId="0" applyFont="1" applyFill="1" applyBorder="1" applyAlignment="1">
      <alignment horizontal="center" vertical="center"/>
    </xf>
    <xf numFmtId="165" fontId="17" fillId="21" borderId="11" xfId="0" applyNumberFormat="1" applyFont="1" applyFill="1" applyBorder="1" applyAlignment="1">
      <alignment horizontal="center" vertical="center"/>
    </xf>
    <xf numFmtId="168" fontId="17" fillId="21" borderId="11" xfId="0" applyNumberFormat="1" applyFont="1" applyFill="1" applyBorder="1" applyAlignment="1">
      <alignment horizontal="center" vertical="center"/>
    </xf>
    <xf numFmtId="0" fontId="17" fillId="21" borderId="10" xfId="0" applyFont="1" applyFill="1" applyBorder="1" applyAlignment="1">
      <alignment horizontal="center" vertical="center"/>
    </xf>
    <xf numFmtId="165" fontId="17" fillId="21" borderId="3" xfId="0" applyNumberFormat="1" applyFont="1" applyFill="1" applyBorder="1" applyAlignment="1">
      <alignment horizontal="center" vertical="center"/>
    </xf>
    <xf numFmtId="0" fontId="8" fillId="22" borderId="4" xfId="0" applyFont="1" applyFill="1" applyBorder="1" applyAlignment="1">
      <alignment horizontal="center" vertical="center"/>
    </xf>
    <xf numFmtId="165" fontId="8" fillId="23" borderId="3" xfId="1" applyNumberFormat="1" applyFont="1" applyFill="1" applyBorder="1" applyAlignment="1">
      <alignment horizontal="center" vertical="center"/>
    </xf>
    <xf numFmtId="165" fontId="8" fillId="23" borderId="4" xfId="1" applyNumberFormat="1" applyFont="1" applyFill="1" applyBorder="1" applyAlignment="1">
      <alignment horizontal="center" vertical="center"/>
    </xf>
    <xf numFmtId="165" fontId="8" fillId="23" borderId="3" xfId="0" applyNumberFormat="1" applyFont="1" applyFill="1" applyBorder="1" applyAlignment="1">
      <alignment horizontal="center" vertical="center"/>
    </xf>
    <xf numFmtId="165" fontId="8" fillId="23" borderId="4" xfId="0" applyNumberFormat="1" applyFont="1" applyFill="1" applyBorder="1" applyAlignment="1">
      <alignment horizontal="center" vertical="center"/>
    </xf>
    <xf numFmtId="0" fontId="8" fillId="23" borderId="4" xfId="0" applyFont="1" applyFill="1" applyBorder="1" applyAlignment="1">
      <alignment horizontal="center" vertical="center"/>
    </xf>
    <xf numFmtId="9" fontId="8" fillId="0" borderId="11" xfId="0" applyNumberFormat="1" applyFont="1" applyBorder="1" applyAlignment="1">
      <alignment horizontal="center" vertical="center"/>
    </xf>
    <xf numFmtId="9" fontId="8" fillId="0" borderId="10" xfId="0" applyNumberFormat="1" applyFont="1" applyBorder="1" applyAlignment="1">
      <alignment horizontal="center" vertical="center"/>
    </xf>
    <xf numFmtId="9" fontId="8" fillId="0" borderId="3" xfId="0" applyNumberFormat="1" applyFont="1" applyBorder="1" applyAlignment="1">
      <alignment horizontal="center" vertical="center"/>
    </xf>
    <xf numFmtId="9" fontId="8" fillId="0" borderId="7" xfId="0" applyNumberFormat="1" applyFont="1" applyBorder="1" applyAlignment="1">
      <alignment horizontal="center" vertical="center"/>
    </xf>
    <xf numFmtId="0" fontId="21" fillId="0" borderId="0" xfId="0" applyFont="1" applyAlignment="1">
      <alignment horizontal="center" vertical="center"/>
    </xf>
    <xf numFmtId="0" fontId="8" fillId="0" borderId="0" xfId="0" applyFont="1" applyAlignment="1">
      <alignment horizontal="center" vertical="center" wrapText="1"/>
    </xf>
    <xf numFmtId="10" fontId="21" fillId="0" borderId="0" xfId="0" applyNumberFormat="1" applyFont="1" applyAlignment="1">
      <alignment horizontal="center" vertical="center"/>
    </xf>
    <xf numFmtId="9" fontId="8" fillId="0" borderId="4" xfId="0" applyNumberFormat="1" applyFont="1" applyBorder="1" applyAlignment="1">
      <alignment horizontal="center" vertical="center"/>
    </xf>
    <xf numFmtId="10" fontId="8" fillId="0" borderId="0" xfId="0" applyNumberFormat="1" applyFont="1" applyAlignment="1">
      <alignment horizontal="center" vertical="center"/>
    </xf>
    <xf numFmtId="44" fontId="8" fillId="0" borderId="0" xfId="1" applyFont="1" applyAlignment="1">
      <alignment horizontal="center" vertical="center"/>
    </xf>
    <xf numFmtId="0" fontId="17" fillId="21" borderId="0" xfId="0" applyFont="1" applyFill="1" applyAlignment="1">
      <alignment horizontal="center" vertical="center"/>
    </xf>
    <xf numFmtId="0" fontId="17" fillId="21" borderId="4"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3" xfId="0" applyFont="1" applyFill="1" applyBorder="1" applyAlignment="1">
      <alignment horizontal="left" vertical="center"/>
    </xf>
    <xf numFmtId="0" fontId="8" fillId="8" borderId="3" xfId="0" applyFont="1" applyFill="1" applyBorder="1" applyAlignment="1">
      <alignment horizontal="center" vertical="center"/>
    </xf>
    <xf numFmtId="0" fontId="8" fillId="8" borderId="3" xfId="0" applyFont="1" applyFill="1" applyBorder="1" applyAlignment="1">
      <alignment horizontal="left" vertical="center"/>
    </xf>
    <xf numFmtId="0" fontId="8" fillId="9" borderId="3" xfId="0" applyFont="1" applyFill="1" applyBorder="1" applyAlignment="1">
      <alignment horizontal="center" vertical="center"/>
    </xf>
    <xf numFmtId="0" fontId="8" fillId="9" borderId="3" xfId="0" applyFont="1" applyFill="1" applyBorder="1" applyAlignment="1">
      <alignment horizontal="left" vertical="center"/>
    </xf>
    <xf numFmtId="0" fontId="8" fillId="9" borderId="4" xfId="0" applyFont="1" applyFill="1" applyBorder="1" applyAlignment="1">
      <alignment horizontal="center" vertical="center"/>
    </xf>
    <xf numFmtId="0" fontId="8" fillId="10" borderId="1" xfId="0" applyFont="1" applyFill="1" applyBorder="1" applyAlignment="1">
      <alignment horizontal="center" vertical="center"/>
    </xf>
    <xf numFmtId="0" fontId="8" fillId="10" borderId="3" xfId="0" applyFont="1" applyFill="1" applyBorder="1" applyAlignment="1">
      <alignment horizontal="left" vertical="center"/>
    </xf>
    <xf numFmtId="0" fontId="8" fillId="0" borderId="2" xfId="0" applyFont="1" applyBorder="1" applyAlignment="1">
      <alignment horizontal="center" vertical="center"/>
    </xf>
    <xf numFmtId="0" fontId="8" fillId="10" borderId="1" xfId="0" applyFont="1" applyFill="1" applyBorder="1" applyAlignment="1">
      <alignment horizontal="left" vertical="center"/>
    </xf>
    <xf numFmtId="0" fontId="8" fillId="11" borderId="2" xfId="0" applyFont="1" applyFill="1" applyBorder="1" applyAlignment="1">
      <alignment horizontal="center" vertical="center"/>
    </xf>
    <xf numFmtId="165" fontId="17" fillId="10" borderId="6" xfId="0" applyNumberFormat="1" applyFont="1" applyFill="1" applyBorder="1" applyAlignment="1">
      <alignment horizontal="center" vertical="center"/>
    </xf>
    <xf numFmtId="165" fontId="17" fillId="10" borderId="3" xfId="0" applyNumberFormat="1" applyFont="1" applyFill="1" applyBorder="1" applyAlignment="1">
      <alignment horizontal="center" vertical="center"/>
    </xf>
    <xf numFmtId="0" fontId="17" fillId="10" borderId="3" xfId="0" applyFont="1" applyFill="1" applyBorder="1" applyAlignment="1">
      <alignment horizontal="center" vertical="center"/>
    </xf>
    <xf numFmtId="165" fontId="17" fillId="10" borderId="7" xfId="0" applyNumberFormat="1" applyFont="1" applyFill="1" applyBorder="1" applyAlignment="1">
      <alignment horizontal="center" vertical="center"/>
    </xf>
    <xf numFmtId="165" fontId="17" fillId="20" borderId="11" xfId="0" applyNumberFormat="1" applyFont="1" applyFill="1" applyBorder="1" applyAlignment="1">
      <alignment horizontal="center" vertical="center"/>
    </xf>
    <xf numFmtId="166" fontId="17" fillId="10" borderId="3" xfId="0" applyNumberFormat="1" applyFont="1" applyFill="1" applyBorder="1" applyAlignment="1">
      <alignment horizontal="center" vertical="center"/>
    </xf>
    <xf numFmtId="165" fontId="8" fillId="6" borderId="11" xfId="0" applyNumberFormat="1" applyFont="1" applyFill="1" applyBorder="1" applyAlignment="1">
      <alignment horizontal="center" vertical="center"/>
    </xf>
    <xf numFmtId="165" fontId="8" fillId="6" borderId="3" xfId="0" applyNumberFormat="1" applyFont="1" applyFill="1" applyBorder="1" applyAlignment="1">
      <alignment horizontal="center" vertical="center"/>
    </xf>
    <xf numFmtId="165" fontId="8" fillId="11" borderId="3" xfId="0" applyNumberFormat="1" applyFont="1" applyFill="1" applyBorder="1" applyAlignment="1">
      <alignment horizontal="center" vertical="center"/>
    </xf>
    <xf numFmtId="165" fontId="8" fillId="5" borderId="3" xfId="0" applyNumberFormat="1" applyFont="1" applyFill="1" applyBorder="1" applyAlignment="1">
      <alignment horizontal="center" vertical="center"/>
    </xf>
    <xf numFmtId="0" fontId="8" fillId="7" borderId="3" xfId="0" applyFont="1" applyFill="1" applyBorder="1" applyAlignment="1">
      <alignment vertical="center"/>
    </xf>
    <xf numFmtId="0" fontId="22" fillId="7" borderId="3" xfId="0" applyFont="1" applyFill="1" applyBorder="1" applyAlignment="1">
      <alignment horizontal="left" vertical="center" wrapText="1"/>
    </xf>
    <xf numFmtId="0" fontId="22" fillId="7" borderId="3" xfId="0" applyFont="1" applyFill="1" applyBorder="1" applyAlignment="1">
      <alignment horizontal="left" vertical="center"/>
    </xf>
    <xf numFmtId="0" fontId="22" fillId="8" borderId="3" xfId="0" applyFont="1" applyFill="1" applyBorder="1" applyAlignment="1">
      <alignment horizontal="left" vertical="center" wrapText="1"/>
    </xf>
    <xf numFmtId="0" fontId="22" fillId="9" borderId="3" xfId="0" applyFont="1" applyFill="1" applyBorder="1" applyAlignment="1">
      <alignment horizontal="left" vertical="center" wrapText="1"/>
    </xf>
    <xf numFmtId="0" fontId="22" fillId="9" borderId="4" xfId="0" applyFont="1" applyFill="1" applyBorder="1" applyAlignment="1">
      <alignment horizontal="left" vertical="center" wrapText="1"/>
    </xf>
    <xf numFmtId="0" fontId="22" fillId="10" borderId="1" xfId="0" applyFont="1" applyFill="1" applyBorder="1" applyAlignment="1">
      <alignment horizontal="left" vertical="center" wrapText="1"/>
    </xf>
    <xf numFmtId="0" fontId="8" fillId="0" borderId="6" xfId="0" quotePrefix="1" applyFont="1" applyBorder="1" applyAlignment="1">
      <alignment horizontal="center" vertical="center"/>
    </xf>
    <xf numFmtId="168" fontId="8" fillId="0" borderId="11" xfId="0" applyNumberFormat="1" applyFont="1" applyBorder="1" applyAlignment="1">
      <alignment horizontal="center" vertical="center"/>
    </xf>
    <xf numFmtId="0" fontId="20"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center" vertical="center"/>
    </xf>
    <xf numFmtId="0" fontId="0" fillId="0" borderId="0" xfId="0" pivotButton="1"/>
    <xf numFmtId="0" fontId="2" fillId="25" borderId="0" xfId="0" applyFont="1" applyFill="1" applyAlignment="1">
      <alignment horizontal="center" vertical="center"/>
    </xf>
    <xf numFmtId="0" fontId="8" fillId="0" borderId="0" xfId="0" pivotButton="1" applyFont="1" applyAlignment="1">
      <alignment horizontal="center" vertical="center"/>
    </xf>
    <xf numFmtId="0" fontId="15" fillId="0" borderId="0" xfId="0" pivotButton="1" applyFont="1" applyAlignment="1">
      <alignment horizontal="center" vertical="center"/>
    </xf>
    <xf numFmtId="0" fontId="6" fillId="24" borderId="0" xfId="0" applyFont="1" applyFill="1" applyAlignment="1">
      <alignment horizontal="center" vertical="center" wrapText="1"/>
    </xf>
    <xf numFmtId="0" fontId="8" fillId="22" borderId="3" xfId="0" applyFont="1" applyFill="1" applyBorder="1" applyAlignment="1">
      <alignment horizontal="center" vertical="center" wrapText="1"/>
    </xf>
    <xf numFmtId="0" fontId="8" fillId="25" borderId="0" xfId="0" applyFont="1" applyFill="1" applyAlignment="1">
      <alignment horizontal="center" vertical="center"/>
    </xf>
    <xf numFmtId="0" fontId="6" fillId="24" borderId="25" xfId="0" applyFont="1" applyFill="1" applyBorder="1" applyAlignment="1">
      <alignment horizontal="center" vertical="center" wrapText="1"/>
    </xf>
    <xf numFmtId="0" fontId="6" fillId="24" borderId="26" xfId="0" applyFont="1" applyFill="1" applyBorder="1" applyAlignment="1">
      <alignment horizontal="center" vertical="center"/>
    </xf>
    <xf numFmtId="0" fontId="6" fillId="24" borderId="27" xfId="0" applyFont="1" applyFill="1" applyBorder="1" applyAlignment="1">
      <alignment horizontal="center" vertical="center"/>
    </xf>
    <xf numFmtId="0" fontId="10" fillId="17" borderId="28" xfId="0" applyFont="1" applyFill="1" applyBorder="1" applyAlignment="1">
      <alignment horizontal="center" vertical="center"/>
    </xf>
    <xf numFmtId="0" fontId="10" fillId="17" borderId="0" xfId="0" applyFont="1" applyFill="1" applyAlignment="1">
      <alignment horizontal="center" vertical="center"/>
    </xf>
    <xf numFmtId="0" fontId="10" fillId="17" borderId="29" xfId="0" applyFont="1" applyFill="1" applyBorder="1" applyAlignment="1">
      <alignment horizontal="center" vertical="center"/>
    </xf>
    <xf numFmtId="0" fontId="10" fillId="17" borderId="17" xfId="0" applyFont="1" applyFill="1" applyBorder="1" applyAlignment="1">
      <alignment horizontal="center" vertical="center"/>
    </xf>
    <xf numFmtId="0" fontId="10" fillId="17" borderId="24" xfId="0" applyFont="1" applyFill="1" applyBorder="1" applyAlignment="1">
      <alignment horizontal="center" vertical="center"/>
    </xf>
    <xf numFmtId="0" fontId="10" fillId="17" borderId="18"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23" xfId="0" applyFont="1" applyFill="1" applyBorder="1" applyAlignment="1">
      <alignment horizontal="center" vertical="center"/>
    </xf>
    <xf numFmtId="0" fontId="9" fillId="17" borderId="16" xfId="0" applyFont="1" applyFill="1" applyBorder="1" applyAlignment="1">
      <alignment horizontal="center" vertical="center"/>
    </xf>
    <xf numFmtId="0" fontId="9" fillId="6" borderId="15" xfId="0" applyFont="1" applyFill="1" applyBorder="1" applyAlignment="1">
      <alignment horizontal="center" vertical="center"/>
    </xf>
    <xf numFmtId="0" fontId="9" fillId="6" borderId="23" xfId="0" applyFont="1" applyFill="1" applyBorder="1" applyAlignment="1">
      <alignment horizontal="center" vertical="center"/>
    </xf>
    <xf numFmtId="0" fontId="9" fillId="6" borderId="16" xfId="0" applyFont="1" applyFill="1" applyBorder="1" applyAlignment="1">
      <alignment horizontal="center" vertical="center"/>
    </xf>
    <xf numFmtId="0" fontId="10" fillId="6" borderId="28" xfId="0" applyFont="1" applyFill="1" applyBorder="1" applyAlignment="1">
      <alignment horizontal="center" vertical="center"/>
    </xf>
    <xf numFmtId="0" fontId="10" fillId="6" borderId="0" xfId="0" applyFont="1" applyFill="1" applyAlignment="1">
      <alignment horizontal="center" vertical="center"/>
    </xf>
    <xf numFmtId="0" fontId="10" fillId="6" borderId="29" xfId="0" applyFont="1" applyFill="1" applyBorder="1" applyAlignment="1">
      <alignment horizontal="center" vertical="center"/>
    </xf>
    <xf numFmtId="0" fontId="10" fillId="6" borderId="17" xfId="0" applyFont="1" applyFill="1" applyBorder="1" applyAlignment="1">
      <alignment horizontal="center" vertical="center"/>
    </xf>
    <xf numFmtId="0" fontId="10" fillId="6" borderId="24" xfId="0" applyFont="1" applyFill="1" applyBorder="1" applyAlignment="1">
      <alignment horizontal="center" vertical="center"/>
    </xf>
    <xf numFmtId="0" fontId="10" fillId="6" borderId="18" xfId="0" applyFont="1" applyFill="1" applyBorder="1" applyAlignment="1">
      <alignment horizontal="center" vertical="center"/>
    </xf>
    <xf numFmtId="0" fontId="9" fillId="11" borderId="15" xfId="0" applyFont="1" applyFill="1" applyBorder="1" applyAlignment="1">
      <alignment horizontal="center" vertical="center"/>
    </xf>
    <xf numFmtId="0" fontId="9" fillId="11" borderId="23" xfId="0" applyFont="1" applyFill="1" applyBorder="1" applyAlignment="1">
      <alignment horizontal="center" vertical="center"/>
    </xf>
    <xf numFmtId="0" fontId="9" fillId="11" borderId="16" xfId="0" applyFont="1" applyFill="1" applyBorder="1" applyAlignment="1">
      <alignment horizontal="center" vertical="center"/>
    </xf>
    <xf numFmtId="0" fontId="10" fillId="11" borderId="28" xfId="0" applyFont="1" applyFill="1" applyBorder="1" applyAlignment="1">
      <alignment horizontal="center" vertical="center"/>
    </xf>
    <xf numFmtId="0" fontId="10" fillId="11" borderId="0" xfId="0" applyFont="1" applyFill="1" applyAlignment="1">
      <alignment horizontal="center" vertical="center"/>
    </xf>
    <xf numFmtId="0" fontId="10" fillId="11" borderId="29" xfId="0" applyFont="1" applyFill="1" applyBorder="1" applyAlignment="1">
      <alignment horizontal="center" vertical="center"/>
    </xf>
    <xf numFmtId="0" fontId="10" fillId="11" borderId="17" xfId="0" applyFont="1" applyFill="1" applyBorder="1" applyAlignment="1">
      <alignment horizontal="center" vertical="center"/>
    </xf>
    <xf numFmtId="0" fontId="10" fillId="11" borderId="24" xfId="0" applyFont="1" applyFill="1" applyBorder="1" applyAlignment="1">
      <alignment horizontal="center" vertical="center"/>
    </xf>
    <xf numFmtId="0" fontId="10" fillId="11" borderId="18" xfId="0" applyFont="1" applyFill="1" applyBorder="1" applyAlignment="1">
      <alignment horizontal="center" vertical="center"/>
    </xf>
    <xf numFmtId="165" fontId="11" fillId="12" borderId="28" xfId="0" applyNumberFormat="1" applyFont="1" applyFill="1" applyBorder="1" applyAlignment="1">
      <alignment horizontal="center" vertical="center"/>
    </xf>
    <xf numFmtId="165" fontId="11" fillId="12" borderId="0" xfId="0" applyNumberFormat="1" applyFont="1" applyFill="1" applyAlignment="1">
      <alignment horizontal="center" vertical="center"/>
    </xf>
    <xf numFmtId="165" fontId="11" fillId="12" borderId="29" xfId="0" applyNumberFormat="1" applyFont="1" applyFill="1" applyBorder="1" applyAlignment="1">
      <alignment horizontal="center" vertical="center"/>
    </xf>
    <xf numFmtId="165" fontId="11" fillId="12" borderId="17" xfId="0" applyNumberFormat="1" applyFont="1" applyFill="1" applyBorder="1" applyAlignment="1">
      <alignment horizontal="center" vertical="center"/>
    </xf>
    <xf numFmtId="165" fontId="11" fillId="12" borderId="24" xfId="0" applyNumberFormat="1" applyFont="1" applyFill="1" applyBorder="1" applyAlignment="1">
      <alignment horizontal="center" vertical="center"/>
    </xf>
    <xf numFmtId="165" fontId="11" fillId="12" borderId="18" xfId="0" applyNumberFormat="1" applyFont="1" applyFill="1" applyBorder="1" applyAlignment="1">
      <alignment horizontal="center" vertical="center"/>
    </xf>
    <xf numFmtId="0" fontId="9" fillId="5" borderId="15" xfId="0" applyFont="1" applyFill="1" applyBorder="1" applyAlignment="1">
      <alignment horizontal="center" vertical="center"/>
    </xf>
    <xf numFmtId="0" fontId="9" fillId="5" borderId="23" xfId="0" applyFont="1" applyFill="1" applyBorder="1" applyAlignment="1">
      <alignment horizontal="center" vertical="center"/>
    </xf>
    <xf numFmtId="0" fontId="9" fillId="5" borderId="16" xfId="0" applyFont="1" applyFill="1" applyBorder="1" applyAlignment="1">
      <alignment horizontal="center" vertical="center"/>
    </xf>
    <xf numFmtId="0" fontId="10" fillId="5" borderId="28" xfId="0" applyFont="1" applyFill="1" applyBorder="1" applyAlignment="1">
      <alignment horizontal="center" vertical="center"/>
    </xf>
    <xf numFmtId="0" fontId="10" fillId="5" borderId="0" xfId="0" applyFont="1" applyFill="1" applyAlignment="1">
      <alignment horizontal="center" vertical="center"/>
    </xf>
    <xf numFmtId="0" fontId="10" fillId="5" borderId="29" xfId="0" applyFont="1" applyFill="1" applyBorder="1" applyAlignment="1">
      <alignment horizontal="center" vertical="center"/>
    </xf>
    <xf numFmtId="0" fontId="10" fillId="5" borderId="17" xfId="0" applyFont="1" applyFill="1" applyBorder="1" applyAlignment="1">
      <alignment horizontal="center" vertical="center"/>
    </xf>
    <xf numFmtId="0" fontId="10" fillId="5" borderId="24" xfId="0" applyFont="1" applyFill="1" applyBorder="1" applyAlignment="1">
      <alignment horizontal="center" vertical="center"/>
    </xf>
    <xf numFmtId="0" fontId="10" fillId="5" borderId="18" xfId="0" applyFont="1" applyFill="1" applyBorder="1" applyAlignment="1">
      <alignment horizontal="center" vertical="center"/>
    </xf>
    <xf numFmtId="165" fontId="11" fillId="11" borderId="28" xfId="0" applyNumberFormat="1" applyFont="1" applyFill="1" applyBorder="1" applyAlignment="1">
      <alignment horizontal="center" vertical="center"/>
    </xf>
    <xf numFmtId="165" fontId="11" fillId="11" borderId="0" xfId="0" applyNumberFormat="1" applyFont="1" applyFill="1" applyAlignment="1">
      <alignment horizontal="center" vertical="center"/>
    </xf>
    <xf numFmtId="165" fontId="11" fillId="11" borderId="29" xfId="0" applyNumberFormat="1" applyFont="1" applyFill="1" applyBorder="1" applyAlignment="1">
      <alignment horizontal="center" vertical="center"/>
    </xf>
    <xf numFmtId="165" fontId="11" fillId="11" borderId="17" xfId="0" applyNumberFormat="1" applyFont="1" applyFill="1" applyBorder="1" applyAlignment="1">
      <alignment horizontal="center" vertical="center"/>
    </xf>
    <xf numFmtId="165" fontId="11" fillId="11" borderId="24" xfId="0" applyNumberFormat="1" applyFont="1" applyFill="1" applyBorder="1" applyAlignment="1">
      <alignment horizontal="center" vertical="center"/>
    </xf>
    <xf numFmtId="165" fontId="11" fillId="11" borderId="18" xfId="0" applyNumberFormat="1" applyFont="1" applyFill="1" applyBorder="1" applyAlignment="1">
      <alignment horizontal="center" vertical="center"/>
    </xf>
    <xf numFmtId="0" fontId="9" fillId="19" borderId="15" xfId="0" applyFont="1" applyFill="1" applyBorder="1" applyAlignment="1">
      <alignment horizontal="center" vertical="center"/>
    </xf>
    <xf numFmtId="0" fontId="9" fillId="19" borderId="23" xfId="0" applyFont="1" applyFill="1" applyBorder="1" applyAlignment="1">
      <alignment horizontal="center" vertical="center"/>
    </xf>
    <xf numFmtId="0" fontId="9" fillId="19" borderId="16" xfId="0" applyFont="1" applyFill="1" applyBorder="1" applyAlignment="1">
      <alignment horizontal="center" vertical="center"/>
    </xf>
    <xf numFmtId="165" fontId="11" fillId="19" borderId="28" xfId="0" applyNumberFormat="1" applyFont="1" applyFill="1" applyBorder="1" applyAlignment="1">
      <alignment horizontal="center" vertical="center"/>
    </xf>
    <xf numFmtId="165" fontId="11" fillId="19" borderId="0" xfId="0" applyNumberFormat="1" applyFont="1" applyFill="1" applyAlignment="1">
      <alignment horizontal="center" vertical="center"/>
    </xf>
    <xf numFmtId="165" fontId="11" fillId="19" borderId="29" xfId="0" applyNumberFormat="1" applyFont="1" applyFill="1" applyBorder="1" applyAlignment="1">
      <alignment horizontal="center" vertical="center"/>
    </xf>
    <xf numFmtId="165" fontId="11" fillId="19" borderId="17" xfId="0" applyNumberFormat="1" applyFont="1" applyFill="1" applyBorder="1" applyAlignment="1">
      <alignment horizontal="center" vertical="center"/>
    </xf>
    <xf numFmtId="165" fontId="11" fillId="19" borderId="24" xfId="0" applyNumberFormat="1" applyFont="1" applyFill="1" applyBorder="1" applyAlignment="1">
      <alignment horizontal="center" vertical="center"/>
    </xf>
    <xf numFmtId="165" fontId="11" fillId="19" borderId="18" xfId="0" applyNumberFormat="1" applyFont="1" applyFill="1" applyBorder="1" applyAlignment="1">
      <alignment horizontal="center" vertical="center"/>
    </xf>
    <xf numFmtId="0" fontId="9" fillId="12" borderId="15" xfId="0" applyFont="1" applyFill="1" applyBorder="1" applyAlignment="1">
      <alignment horizontal="center" vertical="center"/>
    </xf>
    <xf numFmtId="0" fontId="9" fillId="12" borderId="23" xfId="0" applyFont="1" applyFill="1" applyBorder="1" applyAlignment="1">
      <alignment horizontal="center" vertical="center"/>
    </xf>
    <xf numFmtId="0" fontId="9" fillId="12" borderId="16" xfId="0" applyFont="1" applyFill="1" applyBorder="1" applyAlignment="1">
      <alignment horizontal="center" vertical="center"/>
    </xf>
    <xf numFmtId="0" fontId="9" fillId="18" borderId="15" xfId="0" applyFont="1" applyFill="1" applyBorder="1" applyAlignment="1">
      <alignment horizontal="center" vertical="center"/>
    </xf>
    <xf numFmtId="0" fontId="9" fillId="18" borderId="23" xfId="0" applyFont="1" applyFill="1" applyBorder="1" applyAlignment="1">
      <alignment horizontal="center" vertical="center"/>
    </xf>
    <xf numFmtId="0" fontId="9" fillId="18" borderId="16" xfId="0" applyFont="1" applyFill="1" applyBorder="1" applyAlignment="1">
      <alignment horizontal="center" vertical="center"/>
    </xf>
    <xf numFmtId="165" fontId="11" fillId="18" borderId="28" xfId="0" applyNumberFormat="1" applyFont="1" applyFill="1" applyBorder="1" applyAlignment="1">
      <alignment horizontal="center" vertical="center"/>
    </xf>
    <xf numFmtId="165" fontId="11" fillId="18" borderId="0" xfId="0" applyNumberFormat="1" applyFont="1" applyFill="1" applyAlignment="1">
      <alignment horizontal="center" vertical="center"/>
    </xf>
    <xf numFmtId="165" fontId="11" fillId="18" borderId="29" xfId="0" applyNumberFormat="1" applyFont="1" applyFill="1" applyBorder="1" applyAlignment="1">
      <alignment horizontal="center" vertical="center"/>
    </xf>
    <xf numFmtId="165" fontId="11" fillId="18" borderId="17" xfId="0" applyNumberFormat="1" applyFont="1" applyFill="1" applyBorder="1" applyAlignment="1">
      <alignment horizontal="center" vertical="center"/>
    </xf>
    <xf numFmtId="165" fontId="11" fillId="18" borderId="24" xfId="0" applyNumberFormat="1" applyFont="1" applyFill="1" applyBorder="1" applyAlignment="1">
      <alignment horizontal="center" vertical="center"/>
    </xf>
    <xf numFmtId="165" fontId="11" fillId="18" borderId="18" xfId="0" applyNumberFormat="1" applyFont="1" applyFill="1" applyBorder="1" applyAlignment="1">
      <alignment horizontal="center" vertical="center"/>
    </xf>
    <xf numFmtId="165" fontId="11" fillId="6" borderId="28" xfId="0" applyNumberFormat="1" applyFont="1" applyFill="1" applyBorder="1" applyAlignment="1">
      <alignment horizontal="center" vertical="center"/>
    </xf>
    <xf numFmtId="165" fontId="11" fillId="6" borderId="0" xfId="0" applyNumberFormat="1" applyFont="1" applyFill="1" applyAlignment="1">
      <alignment horizontal="center" vertical="center"/>
    </xf>
    <xf numFmtId="165" fontId="11" fillId="6" borderId="29" xfId="0" applyNumberFormat="1" applyFont="1" applyFill="1" applyBorder="1" applyAlignment="1">
      <alignment horizontal="center" vertical="center"/>
    </xf>
    <xf numFmtId="165" fontId="11" fillId="6" borderId="17" xfId="0" applyNumberFormat="1" applyFont="1" applyFill="1" applyBorder="1" applyAlignment="1">
      <alignment horizontal="center" vertical="center"/>
    </xf>
    <xf numFmtId="165" fontId="11" fillId="6" borderId="24" xfId="0" applyNumberFormat="1" applyFont="1" applyFill="1" applyBorder="1" applyAlignment="1">
      <alignment horizontal="center" vertical="center"/>
    </xf>
    <xf numFmtId="165" fontId="11" fillId="6" borderId="18" xfId="0" applyNumberFormat="1" applyFont="1" applyFill="1" applyBorder="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14" fillId="17" borderId="15" xfId="0" applyFont="1" applyFill="1" applyBorder="1" applyAlignment="1">
      <alignment horizontal="center" vertical="center"/>
    </xf>
    <xf numFmtId="0" fontId="14" fillId="17" borderId="23" xfId="0" applyFont="1" applyFill="1" applyBorder="1" applyAlignment="1">
      <alignment horizontal="center" vertical="center"/>
    </xf>
    <xf numFmtId="0" fontId="14" fillId="17" borderId="16" xfId="0" applyFont="1" applyFill="1" applyBorder="1" applyAlignment="1">
      <alignment horizontal="center" vertical="center"/>
    </xf>
    <xf numFmtId="0" fontId="14" fillId="17" borderId="17" xfId="0" applyFont="1" applyFill="1" applyBorder="1" applyAlignment="1">
      <alignment horizontal="center" vertical="center"/>
    </xf>
    <xf numFmtId="0" fontId="14" fillId="17" borderId="24" xfId="0" applyFont="1" applyFill="1" applyBorder="1" applyAlignment="1">
      <alignment horizontal="center" vertical="center"/>
    </xf>
    <xf numFmtId="0" fontId="14" fillId="17" borderId="18" xfId="0" applyFont="1" applyFill="1" applyBorder="1" applyAlignment="1">
      <alignment horizontal="center" vertical="center"/>
    </xf>
    <xf numFmtId="0" fontId="23" fillId="22" borderId="3" xfId="0" applyFont="1" applyFill="1" applyBorder="1" applyAlignment="1">
      <alignment horizontal="center" vertical="center"/>
    </xf>
    <xf numFmtId="0" fontId="14" fillId="17" borderId="0" xfId="0" applyFont="1" applyFill="1" applyAlignment="1">
      <alignment horizontal="center" vertical="center"/>
    </xf>
    <xf numFmtId="0" fontId="7" fillId="17" borderId="15" xfId="0" applyFont="1" applyFill="1" applyBorder="1" applyAlignment="1">
      <alignment horizontal="center" vertical="center"/>
    </xf>
    <xf numFmtId="0" fontId="7" fillId="17" borderId="16" xfId="0" applyFont="1" applyFill="1" applyBorder="1" applyAlignment="1">
      <alignment horizontal="center" vertical="center"/>
    </xf>
    <xf numFmtId="0" fontId="7" fillId="17" borderId="17" xfId="0" applyFont="1" applyFill="1" applyBorder="1" applyAlignment="1">
      <alignment horizontal="center" vertical="center"/>
    </xf>
    <xf numFmtId="0" fontId="7" fillId="17" borderId="18" xfId="0" applyFont="1" applyFill="1" applyBorder="1" applyAlignment="1">
      <alignment horizontal="center" vertical="center"/>
    </xf>
    <xf numFmtId="0" fontId="23" fillId="6" borderId="3" xfId="0" applyFont="1" applyFill="1" applyBorder="1" applyAlignment="1">
      <alignment horizontal="center" vertical="center"/>
    </xf>
    <xf numFmtId="0" fontId="13" fillId="0" borderId="0" xfId="0" applyFont="1" applyAlignment="1">
      <alignment horizontal="center" vertical="center"/>
    </xf>
    <xf numFmtId="0" fontId="6" fillId="24" borderId="26" xfId="0" applyFont="1" applyFill="1" applyBorder="1" applyAlignment="1">
      <alignment horizontal="center" vertical="center" wrapText="1"/>
    </xf>
    <xf numFmtId="0" fontId="6" fillId="24" borderId="27" xfId="0" applyFont="1" applyFill="1" applyBorder="1" applyAlignment="1">
      <alignment horizontal="center" vertical="center" wrapText="1"/>
    </xf>
    <xf numFmtId="0" fontId="8" fillId="22" borderId="3" xfId="0" applyFont="1" applyFill="1" applyBorder="1" applyAlignment="1">
      <alignment horizontal="center" vertical="center"/>
    </xf>
    <xf numFmtId="165" fontId="23" fillId="6" borderId="3" xfId="0" applyNumberFormat="1" applyFont="1" applyFill="1" applyBorder="1" applyAlignment="1">
      <alignment horizontal="center" vertical="center"/>
    </xf>
    <xf numFmtId="0" fontId="9" fillId="17" borderId="17" xfId="0" applyFont="1" applyFill="1" applyBorder="1" applyAlignment="1">
      <alignment horizontal="center" vertical="center"/>
    </xf>
    <xf numFmtId="0" fontId="9" fillId="17" borderId="24" xfId="0" applyFont="1" applyFill="1" applyBorder="1" applyAlignment="1">
      <alignment horizontal="center" vertical="center"/>
    </xf>
    <xf numFmtId="0" fontId="9" fillId="17" borderId="18" xfId="0" applyFont="1" applyFill="1" applyBorder="1" applyAlignment="1">
      <alignment horizontal="center" vertical="center"/>
    </xf>
    <xf numFmtId="0" fontId="16" fillId="17" borderId="19" xfId="0" applyFont="1" applyFill="1" applyBorder="1" applyAlignment="1">
      <alignment horizontal="center" vertical="center"/>
    </xf>
    <xf numFmtId="0" fontId="16" fillId="17" borderId="20" xfId="0" applyFont="1" applyFill="1" applyBorder="1" applyAlignment="1">
      <alignment horizontal="center" vertical="center"/>
    </xf>
    <xf numFmtId="0" fontId="16" fillId="17" borderId="21" xfId="0" applyFont="1" applyFill="1" applyBorder="1" applyAlignment="1">
      <alignment horizontal="center" vertical="center"/>
    </xf>
    <xf numFmtId="0" fontId="16" fillId="17" borderId="22" xfId="0" applyFont="1" applyFill="1" applyBorder="1" applyAlignment="1">
      <alignment horizontal="center" vertical="center"/>
    </xf>
    <xf numFmtId="0" fontId="6" fillId="12" borderId="28" xfId="0" applyFont="1" applyFill="1" applyBorder="1" applyAlignment="1">
      <alignment horizontal="center" vertical="center" wrapText="1"/>
    </xf>
    <xf numFmtId="0" fontId="6" fillId="12" borderId="0" xfId="0" applyFont="1" applyFill="1" applyAlignment="1">
      <alignment horizontal="center" vertical="center" wrapText="1"/>
    </xf>
    <xf numFmtId="0" fontId="3" fillId="2" borderId="0" xfId="0" applyFont="1" applyFill="1" applyAlignment="1">
      <alignment horizontal="center" vertical="center"/>
    </xf>
    <xf numFmtId="0" fontId="12" fillId="2" borderId="15" xfId="0" applyFont="1" applyFill="1" applyBorder="1" applyAlignment="1">
      <alignment horizontal="center" vertical="center"/>
    </xf>
    <xf numFmtId="0" fontId="12" fillId="2" borderId="23"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28" xfId="0" applyFont="1" applyFill="1" applyBorder="1" applyAlignment="1">
      <alignment horizontal="center" vertical="center"/>
    </xf>
    <xf numFmtId="0" fontId="12" fillId="2" borderId="0" xfId="0" applyFont="1" applyFill="1" applyAlignment="1">
      <alignment horizontal="center" vertical="center"/>
    </xf>
    <xf numFmtId="0" fontId="12" fillId="2" borderId="29" xfId="0" applyFont="1" applyFill="1" applyBorder="1" applyAlignment="1">
      <alignment horizontal="center" vertical="center"/>
    </xf>
    <xf numFmtId="0" fontId="12" fillId="2" borderId="17" xfId="0" applyFont="1" applyFill="1" applyBorder="1" applyAlignment="1">
      <alignment horizontal="center" vertical="center"/>
    </xf>
    <xf numFmtId="0" fontId="12" fillId="2" borderId="24" xfId="0" applyFont="1" applyFill="1" applyBorder="1" applyAlignment="1">
      <alignment horizontal="center" vertical="center"/>
    </xf>
    <xf numFmtId="0" fontId="12" fillId="2" borderId="18" xfId="0" applyFont="1" applyFill="1" applyBorder="1" applyAlignment="1">
      <alignment horizontal="center" vertical="center"/>
    </xf>
    <xf numFmtId="0" fontId="9" fillId="17" borderId="33" xfId="0" applyFont="1" applyFill="1" applyBorder="1" applyAlignment="1">
      <alignment horizontal="center" vertical="center"/>
    </xf>
    <xf numFmtId="0" fontId="9" fillId="17" borderId="34" xfId="0" applyFont="1" applyFill="1" applyBorder="1" applyAlignment="1">
      <alignment horizontal="center" vertical="center"/>
    </xf>
    <xf numFmtId="0" fontId="9" fillId="17" borderId="35" xfId="0" applyFont="1" applyFill="1" applyBorder="1" applyAlignment="1">
      <alignment horizontal="center" vertical="center"/>
    </xf>
    <xf numFmtId="0" fontId="17" fillId="17" borderId="15" xfId="0" applyFont="1" applyFill="1" applyBorder="1" applyAlignment="1">
      <alignment horizontal="center" vertical="center"/>
    </xf>
    <xf numFmtId="0" fontId="17" fillId="17" borderId="23" xfId="0" applyFont="1" applyFill="1" applyBorder="1" applyAlignment="1">
      <alignment horizontal="center" vertical="center"/>
    </xf>
    <xf numFmtId="0" fontId="17" fillId="17" borderId="16" xfId="0" applyFont="1" applyFill="1" applyBorder="1" applyAlignment="1">
      <alignment horizontal="center" vertical="center"/>
    </xf>
    <xf numFmtId="0" fontId="17" fillId="17" borderId="17" xfId="0" applyFont="1" applyFill="1" applyBorder="1" applyAlignment="1">
      <alignment horizontal="center" vertical="center"/>
    </xf>
    <xf numFmtId="0" fontId="17" fillId="17" borderId="24" xfId="0" applyFont="1" applyFill="1" applyBorder="1" applyAlignment="1">
      <alignment horizontal="center" vertical="center"/>
    </xf>
    <xf numFmtId="0" fontId="17" fillId="17" borderId="18" xfId="0" applyFont="1" applyFill="1" applyBorder="1" applyAlignment="1">
      <alignment horizontal="center" vertical="center"/>
    </xf>
    <xf numFmtId="0" fontId="8" fillId="22" borderId="12" xfId="0" applyFont="1" applyFill="1" applyBorder="1" applyAlignment="1">
      <alignment horizontal="center" vertical="center"/>
    </xf>
    <xf numFmtId="0" fontId="8" fillId="22" borderId="30" xfId="0" applyFont="1" applyFill="1" applyBorder="1" applyAlignment="1">
      <alignment horizontal="center" vertical="center"/>
    </xf>
    <xf numFmtId="0" fontId="8" fillId="22" borderId="10" xfId="0" applyFont="1" applyFill="1" applyBorder="1" applyAlignment="1">
      <alignment horizontal="center" vertical="center"/>
    </xf>
    <xf numFmtId="0" fontId="8" fillId="22" borderId="9" xfId="0" applyFont="1" applyFill="1" applyBorder="1" applyAlignment="1">
      <alignment horizontal="center" vertical="center"/>
    </xf>
    <xf numFmtId="165" fontId="17" fillId="10" borderId="11" xfId="0" applyNumberFormat="1" applyFont="1" applyFill="1" applyBorder="1" applyAlignment="1">
      <alignment horizontal="center" vertical="center"/>
    </xf>
    <xf numFmtId="165" fontId="17" fillId="10" borderId="3" xfId="0" applyNumberFormat="1" applyFont="1" applyFill="1" applyBorder="1" applyAlignment="1">
      <alignment horizontal="center" vertical="center"/>
    </xf>
    <xf numFmtId="165" fontId="17" fillId="6" borderId="3" xfId="0" applyNumberFormat="1" applyFont="1" applyFill="1" applyBorder="1" applyAlignment="1">
      <alignment horizontal="center" vertical="center"/>
    </xf>
    <xf numFmtId="165" fontId="17" fillId="11" borderId="3" xfId="0" applyNumberFormat="1" applyFont="1" applyFill="1" applyBorder="1" applyAlignment="1">
      <alignment horizontal="center" vertical="center"/>
    </xf>
    <xf numFmtId="0" fontId="17" fillId="17" borderId="19" xfId="0" applyFont="1" applyFill="1" applyBorder="1" applyAlignment="1">
      <alignment horizontal="center" vertical="center"/>
    </xf>
    <xf numFmtId="0" fontId="17" fillId="17" borderId="31" xfId="0" applyFont="1" applyFill="1" applyBorder="1" applyAlignment="1">
      <alignment horizontal="center" vertical="center"/>
    </xf>
    <xf numFmtId="0" fontId="17" fillId="17" borderId="20" xfId="0" applyFont="1" applyFill="1" applyBorder="1" applyAlignment="1">
      <alignment horizontal="center" vertical="center"/>
    </xf>
    <xf numFmtId="0" fontId="17" fillId="17" borderId="21" xfId="0" applyFont="1" applyFill="1" applyBorder="1" applyAlignment="1">
      <alignment horizontal="center" vertical="center"/>
    </xf>
    <xf numFmtId="0" fontId="17" fillId="17" borderId="32" xfId="0" applyFont="1" applyFill="1" applyBorder="1" applyAlignment="1">
      <alignment horizontal="center" vertical="center"/>
    </xf>
    <xf numFmtId="0" fontId="17" fillId="17" borderId="22" xfId="0" applyFont="1" applyFill="1" applyBorder="1" applyAlignment="1">
      <alignment horizontal="center" vertical="center"/>
    </xf>
    <xf numFmtId="0" fontId="8" fillId="22" borderId="11" xfId="0" applyFont="1" applyFill="1" applyBorder="1" applyAlignment="1">
      <alignment horizontal="center" vertical="center"/>
    </xf>
    <xf numFmtId="0" fontId="8" fillId="22" borderId="13" xfId="0" applyFont="1" applyFill="1" applyBorder="1" applyAlignment="1">
      <alignment horizontal="center" vertical="center"/>
    </xf>
    <xf numFmtId="0" fontId="8" fillId="22" borderId="5" xfId="0" applyFont="1" applyFill="1" applyBorder="1" applyAlignment="1">
      <alignment horizontal="center" vertical="center"/>
    </xf>
    <xf numFmtId="165" fontId="17" fillId="11" borderId="13" xfId="0" applyNumberFormat="1" applyFont="1" applyFill="1" applyBorder="1" applyAlignment="1">
      <alignment horizontal="center" vertical="center"/>
    </xf>
    <xf numFmtId="165" fontId="17" fillId="11" borderId="5" xfId="0" applyNumberFormat="1" applyFont="1" applyFill="1" applyBorder="1" applyAlignment="1">
      <alignment horizontal="center" vertical="center"/>
    </xf>
    <xf numFmtId="165" fontId="17" fillId="11" borderId="10" xfId="0" applyNumberFormat="1" applyFont="1" applyFill="1" applyBorder="1" applyAlignment="1">
      <alignment horizontal="center" vertical="center"/>
    </xf>
    <xf numFmtId="165" fontId="17" fillId="11" borderId="9" xfId="0" applyNumberFormat="1" applyFont="1" applyFill="1" applyBorder="1" applyAlignment="1">
      <alignment horizontal="center" vertical="center"/>
    </xf>
    <xf numFmtId="165" fontId="17" fillId="6" borderId="13" xfId="0" applyNumberFormat="1" applyFont="1" applyFill="1" applyBorder="1" applyAlignment="1">
      <alignment horizontal="center" vertical="center"/>
    </xf>
    <xf numFmtId="165" fontId="17" fillId="6" borderId="5" xfId="0" applyNumberFormat="1" applyFont="1" applyFill="1" applyBorder="1" applyAlignment="1">
      <alignment horizontal="center" vertical="center"/>
    </xf>
    <xf numFmtId="165" fontId="17" fillId="6" borderId="10" xfId="0" applyNumberFormat="1" applyFont="1" applyFill="1" applyBorder="1" applyAlignment="1">
      <alignment horizontal="center" vertical="center"/>
    </xf>
    <xf numFmtId="165" fontId="17" fillId="6" borderId="9" xfId="0" applyNumberFormat="1" applyFont="1" applyFill="1" applyBorder="1" applyAlignment="1">
      <alignment horizontal="center" vertical="center"/>
    </xf>
    <xf numFmtId="165" fontId="17" fillId="10" borderId="12" xfId="0" applyNumberFormat="1" applyFont="1" applyFill="1" applyBorder="1" applyAlignment="1">
      <alignment horizontal="center" vertical="center"/>
    </xf>
    <xf numFmtId="165" fontId="17" fillId="10" borderId="30" xfId="0" applyNumberFormat="1" applyFont="1" applyFill="1" applyBorder="1" applyAlignment="1">
      <alignment horizontal="center" vertical="center"/>
    </xf>
    <xf numFmtId="165" fontId="17" fillId="10" borderId="10" xfId="0" applyNumberFormat="1" applyFont="1" applyFill="1" applyBorder="1" applyAlignment="1">
      <alignment horizontal="center" vertical="center"/>
    </xf>
    <xf numFmtId="165" fontId="17" fillId="10" borderId="9" xfId="0" applyNumberFormat="1" applyFont="1" applyFill="1" applyBorder="1" applyAlignment="1">
      <alignment horizontal="center" vertical="center"/>
    </xf>
    <xf numFmtId="0" fontId="8" fillId="22" borderId="7" xfId="0" applyFont="1" applyFill="1" applyBorder="1" applyAlignment="1">
      <alignment horizontal="center" vertical="center"/>
    </xf>
    <xf numFmtId="0" fontId="8" fillId="22" borderId="6" xfId="0" applyFont="1" applyFill="1" applyBorder="1" applyAlignment="1">
      <alignment horizontal="center" vertical="center"/>
    </xf>
    <xf numFmtId="0" fontId="17" fillId="17" borderId="25" xfId="0" applyFont="1" applyFill="1" applyBorder="1" applyAlignment="1">
      <alignment horizontal="center" vertical="center"/>
    </xf>
    <xf numFmtId="0" fontId="17" fillId="17" borderId="26" xfId="0" applyFont="1" applyFill="1" applyBorder="1" applyAlignment="1">
      <alignment horizontal="center" vertical="center"/>
    </xf>
    <xf numFmtId="0" fontId="17" fillId="17" borderId="27" xfId="0" applyFont="1" applyFill="1" applyBorder="1" applyAlignment="1">
      <alignment horizontal="center" vertical="center"/>
    </xf>
    <xf numFmtId="0" fontId="17" fillId="17" borderId="33" xfId="0" applyFont="1" applyFill="1" applyBorder="1" applyAlignment="1">
      <alignment horizontal="center" vertical="center"/>
    </xf>
    <xf numFmtId="0" fontId="17" fillId="17" borderId="34" xfId="0" applyFont="1" applyFill="1" applyBorder="1" applyAlignment="1">
      <alignment horizontal="center" vertical="center"/>
    </xf>
    <xf numFmtId="0" fontId="17" fillId="17" borderId="35" xfId="0" applyFont="1" applyFill="1" applyBorder="1" applyAlignment="1">
      <alignment horizontal="center" vertical="center"/>
    </xf>
    <xf numFmtId="0" fontId="9" fillId="10" borderId="25" xfId="0" applyFont="1" applyFill="1" applyBorder="1" applyAlignment="1">
      <alignment horizontal="center" vertical="center"/>
    </xf>
    <xf numFmtId="0" fontId="9" fillId="10" borderId="27" xfId="0" applyFont="1" applyFill="1" applyBorder="1" applyAlignment="1">
      <alignment horizontal="center" vertical="center"/>
    </xf>
    <xf numFmtId="0" fontId="17" fillId="2" borderId="25" xfId="0" applyFont="1" applyFill="1" applyBorder="1" applyAlignment="1">
      <alignment horizontal="center" vertical="center"/>
    </xf>
    <xf numFmtId="0" fontId="17" fillId="2" borderId="26" xfId="0" applyFont="1" applyFill="1" applyBorder="1" applyAlignment="1">
      <alignment horizontal="center" vertical="center"/>
    </xf>
    <xf numFmtId="0" fontId="17" fillId="2" borderId="27" xfId="0" applyFont="1" applyFill="1" applyBorder="1" applyAlignment="1">
      <alignment horizontal="center" vertical="center"/>
    </xf>
    <xf numFmtId="0" fontId="9" fillId="17" borderId="25" xfId="0" applyFont="1" applyFill="1" applyBorder="1" applyAlignment="1">
      <alignment horizontal="center" vertical="center"/>
    </xf>
    <xf numFmtId="0" fontId="9" fillId="17" borderId="26" xfId="0" applyFont="1" applyFill="1" applyBorder="1" applyAlignment="1">
      <alignment horizontal="center" vertical="center"/>
    </xf>
    <xf numFmtId="0" fontId="9" fillId="17" borderId="27" xfId="0" applyFont="1" applyFill="1" applyBorder="1" applyAlignment="1">
      <alignment horizontal="center" vertical="center"/>
    </xf>
    <xf numFmtId="0" fontId="2" fillId="0" borderId="4" xfId="0" applyFont="1" applyBorder="1" applyAlignment="1">
      <alignment horizontal="center" vertical="center"/>
    </xf>
    <xf numFmtId="0" fontId="2" fillId="0" borderId="14" xfId="0" applyFont="1" applyBorder="1" applyAlignment="1">
      <alignment horizontal="center" vertical="center"/>
    </xf>
    <xf numFmtId="0" fontId="2" fillId="0" borderId="11" xfId="0" applyFont="1" applyBorder="1" applyAlignment="1">
      <alignment horizontal="center" vertical="center"/>
    </xf>
    <xf numFmtId="9" fontId="2" fillId="0" borderId="4" xfId="2" applyFont="1" applyBorder="1" applyAlignment="1">
      <alignment horizontal="center" vertical="center"/>
    </xf>
    <xf numFmtId="9" fontId="2" fillId="0" borderId="14" xfId="2" applyFont="1" applyBorder="1" applyAlignment="1">
      <alignment horizontal="center" vertical="center"/>
    </xf>
    <xf numFmtId="9" fontId="2" fillId="0" borderId="11" xfId="2" applyFont="1" applyBorder="1" applyAlignment="1">
      <alignment horizontal="center" vertical="center"/>
    </xf>
    <xf numFmtId="0" fontId="2" fillId="0" borderId="3" xfId="0" applyFont="1" applyBorder="1" applyAlignment="1">
      <alignment horizontal="center" vertical="center"/>
    </xf>
    <xf numFmtId="168" fontId="2" fillId="0" borderId="4" xfId="0" applyNumberFormat="1" applyFont="1" applyBorder="1" applyAlignment="1">
      <alignment horizontal="center" vertical="center"/>
    </xf>
    <xf numFmtId="168" fontId="2" fillId="0" borderId="14" xfId="0" applyNumberFormat="1" applyFont="1" applyBorder="1" applyAlignment="1">
      <alignment horizontal="center" vertical="center"/>
    </xf>
    <xf numFmtId="168" fontId="2" fillId="0" borderId="11" xfId="0" applyNumberFormat="1" applyFont="1" applyBorder="1" applyAlignment="1">
      <alignment horizontal="center" vertical="center"/>
    </xf>
    <xf numFmtId="168" fontId="2" fillId="0" borderId="3" xfId="0" applyNumberFormat="1" applyFont="1" applyBorder="1" applyAlignment="1">
      <alignment horizontal="center" vertical="center"/>
    </xf>
  </cellXfs>
  <cellStyles count="3">
    <cellStyle name="Currency" xfId="1" builtinId="4"/>
    <cellStyle name="Normal" xfId="0" builtinId="0"/>
    <cellStyle name="Percent" xfId="2" builtinId="5"/>
  </cellStyles>
  <dxfs count="287">
    <dxf>
      <font>
        <name val="APTOS"/>
      </font>
    </dxf>
    <dxf>
      <font>
        <name val="APTOS"/>
      </font>
    </dxf>
    <dxf>
      <font>
        <name val="APTOS"/>
      </font>
    </dxf>
    <dxf>
      <font>
        <name val="APTOS"/>
      </font>
    </dxf>
    <dxf>
      <font>
        <name val="APTOS"/>
      </font>
    </dxf>
    <dxf>
      <font>
        <name val="APTOS"/>
      </font>
    </dxf>
    <dxf>
      <font>
        <name val="APTOS"/>
      </font>
    </dxf>
    <dxf>
      <font>
        <name val="APTOS"/>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ont>
        <b/>
        <i val="0"/>
        <strike val="0"/>
        <condense val="0"/>
        <extend val="0"/>
        <outline val="0"/>
        <shadow val="0"/>
        <u val="none"/>
        <vertAlign val="baseline"/>
        <sz val="12"/>
        <color theme="1"/>
        <name val="APTOS"/>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name val="APTOS"/>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3" formatCode="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fill>
        <patternFill patternType="none">
          <fgColor indexed="64"/>
          <bgColor indexed="65"/>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PTOS"/>
        <scheme val="none"/>
      </font>
      <fill>
        <patternFill patternType="solid">
          <fgColor indexed="64"/>
          <bgColor theme="1" tint="0.3499862666707357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PTOS"/>
        <scheme val="none"/>
      </font>
      <numFmt numFmtId="13"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PTOS"/>
        <scheme val="none"/>
      </font>
      <numFmt numFmtId="13"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PTOS"/>
        <scheme val="none"/>
      </font>
      <numFmt numFmtId="13"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PTOS"/>
        <scheme val="none"/>
      </font>
      <numFmt numFmtId="13"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rgb="FF00B050"/>
        </patternFill>
      </fill>
    </dxf>
    <dxf>
      <fill>
        <patternFill>
          <bgColor rgb="FFFF0000"/>
        </patternFill>
      </fill>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68" formatCode="[$-F800]dddd\,\ mmmm\ dd\,\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65"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0"/>
        <name val="APTOS"/>
        <scheme val="none"/>
      </font>
      <fill>
        <patternFill patternType="solid">
          <fgColor indexed="64"/>
          <bgColor theme="1" tint="0.3499862666707357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68" formatCode="[$-F800]dddd\,\ mmmm\ dd\,\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65"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0"/>
        <name val="APTOS"/>
        <scheme val="none"/>
      </font>
      <fill>
        <patternFill patternType="solid">
          <fgColor indexed="64"/>
          <bgColor theme="1" tint="0.3499862666707357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68" formatCode="[$-F800]dddd\,\ mmmm\ dd\,\ yyyy"/>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21" formatCode="dd/mmm"/>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65"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0"/>
        <name val="APTOS"/>
        <scheme val="none"/>
      </font>
      <fill>
        <patternFill patternType="solid">
          <fgColor indexed="64"/>
          <bgColor theme="1" tint="0.34998626667073579"/>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rgb="FF00B050"/>
        </patternFill>
      </fill>
    </dxf>
    <dxf>
      <fill>
        <patternFill>
          <bgColor rgb="FFFF0000"/>
        </patternFill>
      </fill>
    </dxf>
    <dxf>
      <font>
        <b/>
        <i val="0"/>
        <strike val="0"/>
        <condense val="0"/>
        <extend val="0"/>
        <outline val="0"/>
        <shadow val="0"/>
        <u val="none"/>
        <vertAlign val="baseline"/>
        <sz val="12"/>
        <color theme="1"/>
        <name val="APTOS"/>
        <scheme val="none"/>
      </font>
      <numFmt numFmtId="165"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65"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65"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dxf>
    <dxf>
      <fill>
        <patternFill patternType="darkUp">
          <bgColor theme="7"/>
        </patternFill>
      </fill>
    </dxf>
    <dxf>
      <fill>
        <patternFill>
          <bgColor rgb="FFFF0000"/>
        </patternFill>
      </fill>
    </dxf>
    <dxf>
      <fill>
        <patternFill>
          <bgColor rgb="FF00B050"/>
        </patternFill>
      </fill>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68" formatCode="[$-F800]dddd\,\ mmmm\ dd\,\ 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67" formatCode="[$-14009]dddd\,\ d\ mmmm\,\ 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165" formatCode="&quot;₹&quot;\ #,##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name val="APTOS"/>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name val="APTOS"/>
        <scheme val="none"/>
      </font>
      <alignment horizontal="center" vertical="center" textRotation="0" indent="0" justifyLastLine="0" shrinkToFit="0" readingOrder="0"/>
      <border diagonalUp="0" diagonalDown="0" outline="0">
        <left style="thin">
          <color rgb="FF505050"/>
        </left>
        <right style="thin">
          <color rgb="FF505050"/>
        </right>
        <top/>
        <bottom/>
      </border>
    </dxf>
    <dxf>
      <border>
        <left style="thin">
          <color rgb="FF505050"/>
        </left>
        <right style="thin">
          <color rgb="FF505050"/>
        </right>
        <top style="thin">
          <color rgb="FF505050"/>
        </top>
        <bottom style="thin">
          <color rgb="FF505050"/>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dxf>
    <dxf>
      <border>
        <bottom style="thin">
          <color rgb="FF505050"/>
        </bottom>
      </border>
    </dxf>
    <dxf>
      <font>
        <b/>
        <i val="0"/>
        <strike val="0"/>
        <condense val="0"/>
        <extend val="0"/>
        <outline val="0"/>
        <shadow val="0"/>
        <u val="none"/>
        <vertAlign val="baseline"/>
        <sz val="12"/>
        <color theme="1"/>
        <name val="APTOS"/>
        <scheme val="none"/>
      </font>
      <alignment horizontal="center" vertical="center" textRotation="0" wrapText="0" indent="0" justifyLastLine="0" shrinkToFit="0" readingOrder="0"/>
      <border diagonalUp="0" diagonalDown="0" outline="0">
        <left style="thin">
          <color rgb="FF505050"/>
        </left>
        <right style="thin">
          <color rgb="FF505050"/>
        </right>
        <top/>
        <bottom/>
      </border>
    </dxf>
    <dxf>
      <fill>
        <patternFill>
          <bgColor rgb="FFFF0000"/>
        </patternFill>
      </fill>
    </dxf>
    <dxf>
      <fill>
        <patternFill>
          <bgColor rgb="FF00B050"/>
        </patternFill>
      </fill>
    </dxf>
    <dxf>
      <fill>
        <patternFill>
          <bgColor rgb="FF002060"/>
        </patternFill>
      </fill>
    </dxf>
    <dxf>
      <fill>
        <patternFill>
          <bgColor rgb="FF00B050"/>
        </patternFill>
      </fill>
    </dxf>
    <dxf>
      <fill>
        <patternFill>
          <bgColor rgb="FFFF0000"/>
        </patternFill>
      </fill>
    </dxf>
  </dxfs>
  <tableStyles count="0" defaultTableStyle="TableStyleMedium2" defaultPivotStyle="PivotStyleLight16"/>
  <colors>
    <mruColors>
      <color rgb="FF1E3A8A"/>
      <color rgb="FFE5E7EB"/>
      <color rgb="FFE93108"/>
      <color rgb="FFF555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[2026-2027_tution_excel.xlsx]All_Pivot_Table!PivotTable1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LEFT ACTIVE ANC STUDENTS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81580019230174E-2"/>
          <c:y val="0.22310281787885403"/>
          <c:w val="0.84632638247510961"/>
          <c:h val="0.60180111528265845"/>
        </c:manualLayout>
      </c:layout>
      <c:barChart>
        <c:barDir val="col"/>
        <c:grouping val="clustered"/>
        <c:varyColors val="0"/>
        <c:ser>
          <c:idx val="0"/>
          <c:order val="0"/>
          <c:tx>
            <c:strRef>
              <c:f>All_Pivot_Table!$B$3:$B$4</c:f>
              <c:strCache>
                <c:ptCount val="1"/>
                <c:pt idx="0">
                  <c:v>ACTIVE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All_Pivot_Table!$A$5:$A$11</c:f>
              <c:strCache>
                <c:ptCount val="6"/>
                <c:pt idx="0">
                  <c:v>0th</c:v>
                </c:pt>
                <c:pt idx="1">
                  <c:v>1st</c:v>
                </c:pt>
                <c:pt idx="2">
                  <c:v>2nd</c:v>
                </c:pt>
                <c:pt idx="3">
                  <c:v>3rd</c:v>
                </c:pt>
                <c:pt idx="4">
                  <c:v>4th</c:v>
                </c:pt>
                <c:pt idx="5">
                  <c:v>10th</c:v>
                </c:pt>
              </c:strCache>
            </c:strRef>
          </c:cat>
          <c:val>
            <c:numRef>
              <c:f>All_Pivot_Table!$B$5:$B$11</c:f>
              <c:numCache>
                <c:formatCode>General</c:formatCode>
                <c:ptCount val="6"/>
                <c:pt idx="0">
                  <c:v>8</c:v>
                </c:pt>
                <c:pt idx="1">
                  <c:v>7</c:v>
                </c:pt>
                <c:pt idx="2">
                  <c:v>4</c:v>
                </c:pt>
                <c:pt idx="3">
                  <c:v>9</c:v>
                </c:pt>
                <c:pt idx="4">
                  <c:v>11</c:v>
                </c:pt>
                <c:pt idx="5">
                  <c:v>1</c:v>
                </c:pt>
              </c:numCache>
            </c:numRef>
          </c:val>
          <c:extLst>
            <c:ext xmlns:c16="http://schemas.microsoft.com/office/drawing/2014/chart" uri="{C3380CC4-5D6E-409C-BE32-E72D297353CC}">
              <c16:uniqueId val="{00000000-8DDF-4A6C-B03B-B81517B76D3E}"/>
            </c:ext>
          </c:extLst>
        </c:ser>
        <c:ser>
          <c:idx val="1"/>
          <c:order val="1"/>
          <c:tx>
            <c:strRef>
              <c:f>All_Pivot_Table!$C$3:$C$4</c:f>
              <c:strCache>
                <c:ptCount val="1"/>
                <c:pt idx="0">
                  <c:v>LEFT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All_Pivot_Table!$A$5:$A$11</c:f>
              <c:strCache>
                <c:ptCount val="6"/>
                <c:pt idx="0">
                  <c:v>0th</c:v>
                </c:pt>
                <c:pt idx="1">
                  <c:v>1st</c:v>
                </c:pt>
                <c:pt idx="2">
                  <c:v>2nd</c:v>
                </c:pt>
                <c:pt idx="3">
                  <c:v>3rd</c:v>
                </c:pt>
                <c:pt idx="4">
                  <c:v>4th</c:v>
                </c:pt>
                <c:pt idx="5">
                  <c:v>10th</c:v>
                </c:pt>
              </c:strCache>
            </c:strRef>
          </c:cat>
          <c:val>
            <c:numRef>
              <c:f>All_Pivot_Table!$C$5:$C$11</c:f>
              <c:numCache>
                <c:formatCode>General</c:formatCode>
                <c:ptCount val="6"/>
                <c:pt idx="0">
                  <c:v>1</c:v>
                </c:pt>
                <c:pt idx="2">
                  <c:v>1</c:v>
                </c:pt>
                <c:pt idx="5">
                  <c:v>1</c:v>
                </c:pt>
              </c:numCache>
            </c:numRef>
          </c:val>
          <c:extLst>
            <c:ext xmlns:c16="http://schemas.microsoft.com/office/drawing/2014/chart" uri="{C3380CC4-5D6E-409C-BE32-E72D297353CC}">
              <c16:uniqueId val="{00000001-EB7E-411A-A2B2-057B2C89A48C}"/>
            </c:ext>
          </c:extLst>
        </c:ser>
        <c:dLbls>
          <c:dLblPos val="outEnd"/>
          <c:showLegendKey val="0"/>
          <c:showVal val="1"/>
          <c:showCatName val="0"/>
          <c:showSerName val="0"/>
          <c:showPercent val="0"/>
          <c:showBubbleSize val="0"/>
        </c:dLbls>
        <c:gapWidth val="100"/>
        <c:overlap val="-24"/>
        <c:axId val="613148480"/>
        <c:axId val="613148896"/>
      </c:barChart>
      <c:catAx>
        <c:axId val="613148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3148896"/>
        <c:crosses val="autoZero"/>
        <c:auto val="1"/>
        <c:lblAlgn val="ctr"/>
        <c:lblOffset val="100"/>
        <c:noMultiLvlLbl val="0"/>
      </c:catAx>
      <c:valAx>
        <c:axId val="613148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3148480"/>
        <c:crosses val="autoZero"/>
        <c:crossBetween val="between"/>
      </c:valAx>
      <c:spPr>
        <a:noFill/>
        <a:ln>
          <a:noFill/>
        </a:ln>
        <a:effectLst/>
      </c:spPr>
    </c:plotArea>
    <c:legend>
      <c:legendPos val="r"/>
      <c:layout>
        <c:manualLayout>
          <c:xMode val="edge"/>
          <c:yMode val="edge"/>
          <c:x val="0.89487396899315563"/>
          <c:y val="3.8673660530718516E-2"/>
          <c:w val="0.10512603002679416"/>
          <c:h val="0.189907495076180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[2026-2027_tution_excel.xlsx]All_Pivot_Table!PivotTable7</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44924388090329E-2"/>
          <c:y val="0.11934966462525518"/>
          <c:w val="0.79494533981987059"/>
          <c:h val="0.75010279965004378"/>
        </c:manualLayout>
      </c:layout>
      <c:barChart>
        <c:barDir val="bar"/>
        <c:grouping val="clustered"/>
        <c:varyColors val="0"/>
        <c:ser>
          <c:idx val="0"/>
          <c:order val="0"/>
          <c:tx>
            <c:strRef>
              <c:f>All_Pivot_Table!$G$5:$G$6</c:f>
              <c:strCache>
                <c:ptCount val="1"/>
                <c:pt idx="0">
                  <c:v>LEFT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All_Pivot_Table!$F$7</c:f>
              <c:strCache>
                <c:ptCount val="1"/>
                <c:pt idx="0">
                  <c:v>Total</c:v>
                </c:pt>
              </c:strCache>
            </c:strRef>
          </c:cat>
          <c:val>
            <c:numRef>
              <c:f>All_Pivot_Table!$G$7</c:f>
              <c:numCache>
                <c:formatCode>General</c:formatCode>
                <c:ptCount val="1"/>
                <c:pt idx="0">
                  <c:v>3050</c:v>
                </c:pt>
              </c:numCache>
            </c:numRef>
          </c:val>
          <c:extLst>
            <c:ext xmlns:c16="http://schemas.microsoft.com/office/drawing/2014/chart" uri="{C3380CC4-5D6E-409C-BE32-E72D297353CC}">
              <c16:uniqueId val="{00000000-ECEB-4569-B317-6F8E91516892}"/>
            </c:ext>
          </c:extLst>
        </c:ser>
        <c:dLbls>
          <c:dLblPos val="outEnd"/>
          <c:showLegendKey val="0"/>
          <c:showVal val="1"/>
          <c:showCatName val="0"/>
          <c:showSerName val="0"/>
          <c:showPercent val="0"/>
          <c:showBubbleSize val="0"/>
        </c:dLbls>
        <c:gapWidth val="115"/>
        <c:overlap val="-20"/>
        <c:axId val="740220896"/>
        <c:axId val="740221728"/>
      </c:barChart>
      <c:catAx>
        <c:axId val="7402208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221728"/>
        <c:crosses val="autoZero"/>
        <c:auto val="1"/>
        <c:lblAlgn val="ctr"/>
        <c:lblOffset val="100"/>
        <c:noMultiLvlLbl val="0"/>
      </c:catAx>
      <c:valAx>
        <c:axId val="7402217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22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[2026-2027_tution_excel.xlsx]All_Pivot_Table!PivotTable3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dkDnDiag">
            <a:fgClr>
              <a:srgbClr val="00B050"/>
            </a:fgClr>
            <a:bgClr>
              <a:schemeClr val="bg1"/>
            </a:bgClr>
          </a:pattFill>
          <a:ln>
            <a:solidFill>
              <a:schemeClr val="tx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dkDnDiag">
            <a:fgClr>
              <a:srgbClr val="00B050"/>
            </a:fgClr>
            <a:bgClr>
              <a:schemeClr val="bg1"/>
            </a:bgClr>
          </a:patt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pattFill prst="dkDnDiag">
            <a:fgClr>
              <a:srgbClr val="00B050"/>
            </a:fgClr>
            <a:bgClr>
              <a:schemeClr val="bg1"/>
            </a:bgClr>
          </a:patt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All_Pivot_Table!$B$25:$B$26</c:f>
              <c:strCache>
                <c:ptCount val="1"/>
                <c:pt idx="0">
                  <c:v>PAID</c:v>
                </c:pt>
              </c:strCache>
            </c:strRef>
          </c:tx>
          <c:spPr>
            <a:pattFill prst="dkDnDiag">
              <a:fgClr>
                <a:srgbClr val="00B050"/>
              </a:fgClr>
              <a:bgClr>
                <a:schemeClr val="bg1"/>
              </a:bgClr>
            </a:pattFill>
            <a:ln>
              <a:solidFill>
                <a:schemeClr val="tx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All_Pivot_Table!$A$27:$A$38</c:f>
              <c:strCache>
                <c:ptCount val="11"/>
                <c:pt idx="0">
                  <c:v>0th</c:v>
                </c:pt>
                <c:pt idx="1">
                  <c:v>10th</c:v>
                </c:pt>
                <c:pt idx="2">
                  <c:v>1st</c:v>
                </c:pt>
                <c:pt idx="3">
                  <c:v>2nd</c:v>
                </c:pt>
                <c:pt idx="4">
                  <c:v>3rd</c:v>
                </c:pt>
                <c:pt idx="5">
                  <c:v>4th</c:v>
                </c:pt>
                <c:pt idx="6">
                  <c:v>5th</c:v>
                </c:pt>
                <c:pt idx="7">
                  <c:v>6th</c:v>
                </c:pt>
                <c:pt idx="8">
                  <c:v>8th</c:v>
                </c:pt>
                <c:pt idx="9">
                  <c:v>9th</c:v>
                </c:pt>
                <c:pt idx="10">
                  <c:v>Jr.kg/Sr.kg</c:v>
                </c:pt>
              </c:strCache>
            </c:strRef>
          </c:cat>
          <c:val>
            <c:numRef>
              <c:f>All_Pivot_Table!$B$27:$B$38</c:f>
              <c:numCache>
                <c:formatCode>General</c:formatCode>
                <c:ptCount val="11"/>
                <c:pt idx="0">
                  <c:v>200</c:v>
                </c:pt>
                <c:pt idx="2">
                  <c:v>450</c:v>
                </c:pt>
                <c:pt idx="3">
                  <c:v>250</c:v>
                </c:pt>
                <c:pt idx="4">
                  <c:v>2050</c:v>
                </c:pt>
                <c:pt idx="5">
                  <c:v>3350</c:v>
                </c:pt>
                <c:pt idx="6">
                  <c:v>2500</c:v>
                </c:pt>
                <c:pt idx="8">
                  <c:v>1600</c:v>
                </c:pt>
                <c:pt idx="9">
                  <c:v>900</c:v>
                </c:pt>
                <c:pt idx="10">
                  <c:v>950</c:v>
                </c:pt>
              </c:numCache>
            </c:numRef>
          </c:val>
          <c:extLst>
            <c:ext xmlns:c16="http://schemas.microsoft.com/office/drawing/2014/chart" uri="{C3380CC4-5D6E-409C-BE32-E72D297353CC}">
              <c16:uniqueId val="{00000000-6BD0-4947-AE45-5CD897FDA5D7}"/>
            </c:ext>
          </c:extLst>
        </c:ser>
        <c:dLbls>
          <c:showLegendKey val="0"/>
          <c:showVal val="0"/>
          <c:showCatName val="0"/>
          <c:showSerName val="0"/>
          <c:showPercent val="0"/>
          <c:showBubbleSize val="0"/>
        </c:dLbls>
        <c:gapWidth val="182"/>
        <c:overlap val="100"/>
        <c:axId val="819811440"/>
        <c:axId val="819806032"/>
      </c:barChart>
      <c:lineChart>
        <c:grouping val="standard"/>
        <c:varyColors val="0"/>
        <c:ser>
          <c:idx val="1"/>
          <c:order val="1"/>
          <c:tx>
            <c:strRef>
              <c:f>All_Pivot_Table!$C$25:$C$26</c:f>
              <c:strCache>
                <c:ptCount val="1"/>
                <c:pt idx="0">
                  <c:v>UNPAID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All_Pivot_Table!$A$27:$A$38</c:f>
              <c:strCache>
                <c:ptCount val="11"/>
                <c:pt idx="0">
                  <c:v>0th</c:v>
                </c:pt>
                <c:pt idx="1">
                  <c:v>10th</c:v>
                </c:pt>
                <c:pt idx="2">
                  <c:v>1st</c:v>
                </c:pt>
                <c:pt idx="3">
                  <c:v>2nd</c:v>
                </c:pt>
                <c:pt idx="4">
                  <c:v>3rd</c:v>
                </c:pt>
                <c:pt idx="5">
                  <c:v>4th</c:v>
                </c:pt>
                <c:pt idx="6">
                  <c:v>5th</c:v>
                </c:pt>
                <c:pt idx="7">
                  <c:v>6th</c:v>
                </c:pt>
                <c:pt idx="8">
                  <c:v>8th</c:v>
                </c:pt>
                <c:pt idx="9">
                  <c:v>9th</c:v>
                </c:pt>
                <c:pt idx="10">
                  <c:v>Jr.kg/Sr.kg</c:v>
                </c:pt>
              </c:strCache>
            </c:strRef>
          </c:cat>
          <c:val>
            <c:numRef>
              <c:f>All_Pivot_Table!$C$27:$C$38</c:f>
              <c:numCache>
                <c:formatCode>General</c:formatCode>
                <c:ptCount val="11"/>
                <c:pt idx="0">
                  <c:v>350</c:v>
                </c:pt>
                <c:pt idx="1">
                  <c:v>1200</c:v>
                </c:pt>
                <c:pt idx="2">
                  <c:v>1050</c:v>
                </c:pt>
                <c:pt idx="3">
                  <c:v>550</c:v>
                </c:pt>
                <c:pt idx="4">
                  <c:v>250</c:v>
                </c:pt>
                <c:pt idx="5">
                  <c:v>400</c:v>
                </c:pt>
                <c:pt idx="6">
                  <c:v>500</c:v>
                </c:pt>
                <c:pt idx="7">
                  <c:v>600</c:v>
                </c:pt>
                <c:pt idx="8">
                  <c:v>800</c:v>
                </c:pt>
                <c:pt idx="9">
                  <c:v>900</c:v>
                </c:pt>
              </c:numCache>
            </c:numRef>
          </c:val>
          <c:smooth val="0"/>
          <c:extLst>
            <c:ext xmlns:c16="http://schemas.microsoft.com/office/drawing/2014/chart" uri="{C3380CC4-5D6E-409C-BE32-E72D297353CC}">
              <c16:uniqueId val="{00000001-6BD0-4947-AE45-5CD897FDA5D7}"/>
            </c:ext>
          </c:extLst>
        </c:ser>
        <c:dLbls>
          <c:showLegendKey val="0"/>
          <c:showVal val="1"/>
          <c:showCatName val="0"/>
          <c:showSerName val="0"/>
          <c:showPercent val="0"/>
          <c:showBubbleSize val="0"/>
        </c:dLbls>
        <c:marker val="1"/>
        <c:smooth val="0"/>
        <c:axId val="819811440"/>
        <c:axId val="819806032"/>
      </c:lineChart>
      <c:catAx>
        <c:axId val="81981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819806032"/>
        <c:crosses val="autoZero"/>
        <c:auto val="1"/>
        <c:lblAlgn val="ctr"/>
        <c:lblOffset val="100"/>
        <c:noMultiLvlLbl val="0"/>
      </c:catAx>
      <c:valAx>
        <c:axId val="81980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81981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STD v/s STUDENTS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5293708724365659E-2"/>
          <c:y val="0.18939664709991125"/>
          <c:w val="0.98470629127563436"/>
          <c:h val="0.67905535276650142"/>
        </c:manualLayout>
      </c:layout>
      <c:bar3DChart>
        <c:barDir val="col"/>
        <c:grouping val="clustered"/>
        <c:varyColors val="0"/>
        <c:ser>
          <c:idx val="0"/>
          <c:order val="0"/>
          <c:tx>
            <c:strRef>
              <c:f>Dashboard_2!$F$6</c:f>
              <c:strCache>
                <c:ptCount val="1"/>
                <c:pt idx="0">
                  <c:v>LEFT</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Dashboard_2!$E$7:$E$18</c:f>
              <c:strCache>
                <c:ptCount val="12"/>
                <c:pt idx="0">
                  <c:v>0TH</c:v>
                </c:pt>
                <c:pt idx="1">
                  <c:v>JR.KG/SR.KG</c:v>
                </c:pt>
                <c:pt idx="2">
                  <c:v>1ST</c:v>
                </c:pt>
                <c:pt idx="3">
                  <c:v>2ND</c:v>
                </c:pt>
                <c:pt idx="4">
                  <c:v>3RD </c:v>
                </c:pt>
                <c:pt idx="5">
                  <c:v>4TH</c:v>
                </c:pt>
                <c:pt idx="6">
                  <c:v>5TH</c:v>
                </c:pt>
                <c:pt idx="7">
                  <c:v>6TH</c:v>
                </c:pt>
                <c:pt idx="8">
                  <c:v>7TH</c:v>
                </c:pt>
                <c:pt idx="9">
                  <c:v>8TH</c:v>
                </c:pt>
                <c:pt idx="10">
                  <c:v>9TH</c:v>
                </c:pt>
                <c:pt idx="11">
                  <c:v>10TH</c:v>
                </c:pt>
              </c:strCache>
            </c:strRef>
          </c:cat>
          <c:val>
            <c:numRef>
              <c:f>Dashboard_2!$F$7:$F$18</c:f>
              <c:numCache>
                <c:formatCode>General</c:formatCode>
                <c:ptCount val="12"/>
                <c:pt idx="0">
                  <c:v>1</c:v>
                </c:pt>
                <c:pt idx="1">
                  <c:v>0</c:v>
                </c:pt>
                <c:pt idx="2">
                  <c:v>0</c:v>
                </c:pt>
                <c:pt idx="3">
                  <c:v>1</c:v>
                </c:pt>
                <c:pt idx="4">
                  <c:v>0</c:v>
                </c:pt>
                <c:pt idx="5">
                  <c:v>0</c:v>
                </c:pt>
                <c:pt idx="6">
                  <c:v>1</c:v>
                </c:pt>
                <c:pt idx="7">
                  <c:v>0</c:v>
                </c:pt>
                <c:pt idx="8">
                  <c:v>0</c:v>
                </c:pt>
                <c:pt idx="9">
                  <c:v>1</c:v>
                </c:pt>
                <c:pt idx="10">
                  <c:v>0</c:v>
                </c:pt>
                <c:pt idx="11">
                  <c:v>1</c:v>
                </c:pt>
              </c:numCache>
            </c:numRef>
          </c:val>
          <c:extLst>
            <c:ext xmlns:c16="http://schemas.microsoft.com/office/drawing/2014/chart" uri="{C3380CC4-5D6E-409C-BE32-E72D297353CC}">
              <c16:uniqueId val="{00000000-EC09-473C-B46E-BDA0A0EC5387}"/>
            </c:ext>
          </c:extLst>
        </c:ser>
        <c:ser>
          <c:idx val="1"/>
          <c:order val="1"/>
          <c:tx>
            <c:strRef>
              <c:f>Dashboard_2!$G$6</c:f>
              <c:strCache>
                <c:ptCount val="1"/>
                <c:pt idx="0">
                  <c:v>ACTIVE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Dashboard_2!$E$7:$E$18</c:f>
              <c:strCache>
                <c:ptCount val="12"/>
                <c:pt idx="0">
                  <c:v>0TH</c:v>
                </c:pt>
                <c:pt idx="1">
                  <c:v>JR.KG/SR.KG</c:v>
                </c:pt>
                <c:pt idx="2">
                  <c:v>1ST</c:v>
                </c:pt>
                <c:pt idx="3">
                  <c:v>2ND</c:v>
                </c:pt>
                <c:pt idx="4">
                  <c:v>3RD </c:v>
                </c:pt>
                <c:pt idx="5">
                  <c:v>4TH</c:v>
                </c:pt>
                <c:pt idx="6">
                  <c:v>5TH</c:v>
                </c:pt>
                <c:pt idx="7">
                  <c:v>6TH</c:v>
                </c:pt>
                <c:pt idx="8">
                  <c:v>7TH</c:v>
                </c:pt>
                <c:pt idx="9">
                  <c:v>8TH</c:v>
                </c:pt>
                <c:pt idx="10">
                  <c:v>9TH</c:v>
                </c:pt>
                <c:pt idx="11">
                  <c:v>10TH</c:v>
                </c:pt>
              </c:strCache>
            </c:strRef>
          </c:cat>
          <c:val>
            <c:numRef>
              <c:f>Dashboard_2!$G$7:$G$18</c:f>
              <c:numCache>
                <c:formatCode>General</c:formatCode>
                <c:ptCount val="12"/>
                <c:pt idx="0">
                  <c:v>8</c:v>
                </c:pt>
                <c:pt idx="1">
                  <c:v>6</c:v>
                </c:pt>
                <c:pt idx="2">
                  <c:v>7</c:v>
                </c:pt>
                <c:pt idx="3">
                  <c:v>4</c:v>
                </c:pt>
                <c:pt idx="4">
                  <c:v>9</c:v>
                </c:pt>
                <c:pt idx="5">
                  <c:v>11</c:v>
                </c:pt>
                <c:pt idx="6">
                  <c:v>6</c:v>
                </c:pt>
                <c:pt idx="7">
                  <c:v>2</c:v>
                </c:pt>
                <c:pt idx="8">
                  <c:v>0</c:v>
                </c:pt>
                <c:pt idx="9">
                  <c:v>2</c:v>
                </c:pt>
                <c:pt idx="10">
                  <c:v>2</c:v>
                </c:pt>
                <c:pt idx="11">
                  <c:v>1</c:v>
                </c:pt>
              </c:numCache>
            </c:numRef>
          </c:val>
          <c:extLst>
            <c:ext xmlns:c16="http://schemas.microsoft.com/office/drawing/2014/chart" uri="{C3380CC4-5D6E-409C-BE32-E72D297353CC}">
              <c16:uniqueId val="{00000001-EC09-473C-B46E-BDA0A0EC5387}"/>
            </c:ext>
          </c:extLst>
        </c:ser>
        <c:ser>
          <c:idx val="2"/>
          <c:order val="2"/>
          <c:tx>
            <c:strRef>
              <c:f>Dashboard_2!$H$6</c:f>
              <c:strCache>
                <c:ptCount val="1"/>
                <c:pt idx="0">
                  <c:v>ANC</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Dashboard_2!$E$7:$E$18</c:f>
              <c:strCache>
                <c:ptCount val="12"/>
                <c:pt idx="0">
                  <c:v>0TH</c:v>
                </c:pt>
                <c:pt idx="1">
                  <c:v>JR.KG/SR.KG</c:v>
                </c:pt>
                <c:pt idx="2">
                  <c:v>1ST</c:v>
                </c:pt>
                <c:pt idx="3">
                  <c:v>2ND</c:v>
                </c:pt>
                <c:pt idx="4">
                  <c:v>3RD </c:v>
                </c:pt>
                <c:pt idx="5">
                  <c:v>4TH</c:v>
                </c:pt>
                <c:pt idx="6">
                  <c:v>5TH</c:v>
                </c:pt>
                <c:pt idx="7">
                  <c:v>6TH</c:v>
                </c:pt>
                <c:pt idx="8">
                  <c:v>7TH</c:v>
                </c:pt>
                <c:pt idx="9">
                  <c:v>8TH</c:v>
                </c:pt>
                <c:pt idx="10">
                  <c:v>9TH</c:v>
                </c:pt>
                <c:pt idx="11">
                  <c:v>10TH</c:v>
                </c:pt>
              </c:strCache>
            </c:strRef>
          </c:cat>
          <c:val>
            <c:numRef>
              <c:f>Dashboard_2!$H$7:$H$18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EC09-473C-B46E-BDA0A0EC5387}"/>
            </c:ext>
          </c:extLst>
        </c:ser>
        <c:dLbls>
          <c:showLegendKey val="0"/>
          <c:showVal val="1"/>
          <c:showCatName val="0"/>
          <c:showSerName val="0"/>
          <c:showPercent val="0"/>
          <c:showBubbleSize val="0"/>
        </c:dLbls>
        <c:gapWidth val="65"/>
        <c:shape val="box"/>
        <c:axId val="1381672751"/>
        <c:axId val="1381669007"/>
        <c:axId val="0"/>
      </c:bar3DChart>
      <c:catAx>
        <c:axId val="1381672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1669007"/>
        <c:crosses val="autoZero"/>
        <c:auto val="1"/>
        <c:lblAlgn val="ctr"/>
        <c:lblOffset val="100"/>
        <c:noMultiLvlLbl val="0"/>
      </c:catAx>
      <c:valAx>
        <c:axId val="13816690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81672751"/>
        <c:crosses val="autoZero"/>
        <c:crossBetween val="between"/>
      </c:valAx>
      <c:spPr>
        <a:noFill/>
        <a:ln>
          <a:noFill/>
        </a:ln>
        <a:effectLst/>
      </c:spPr>
    </c:plotArea>
    <c:legend>
      <c:legendPos val="r"/>
      <c:layout>
        <c:manualLayout>
          <c:xMode val="edge"/>
          <c:yMode val="edge"/>
          <c:x val="0.78884330913312595"/>
          <c:y val="4.5344632517691948E-2"/>
          <c:w val="0.1800597576550656"/>
          <c:h val="0.228427954145435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FEES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F0-4038-9F76-A8469EB30A9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F0-4038-9F76-A8469EB30A97}"/>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4F0-4038-9F76-A8469EB30A97}"/>
              </c:ext>
            </c:extLst>
          </c:dPt>
          <c:cat>
            <c:strRef>
              <c:f>Dashboard_2!$B$7:$B$9</c:f>
              <c:strCache>
                <c:ptCount val="3"/>
                <c:pt idx="0">
                  <c:v>TOTAL LEFT AMOUNT </c:v>
                </c:pt>
                <c:pt idx="1">
                  <c:v>TOTAL ANC AMOUNT </c:v>
                </c:pt>
                <c:pt idx="2">
                  <c:v>TOTAL ACTIVE AMOUNT</c:v>
                </c:pt>
              </c:strCache>
            </c:strRef>
          </c:cat>
          <c:val>
            <c:numRef>
              <c:f>Dashboard_2!$C$7:$C$9</c:f>
              <c:numCache>
                <c:formatCode>"₹"\ #,##0.00</c:formatCode>
                <c:ptCount val="3"/>
                <c:pt idx="0">
                  <c:v>3050</c:v>
                </c:pt>
                <c:pt idx="1">
                  <c:v>0</c:v>
                </c:pt>
                <c:pt idx="2">
                  <c:v>20250</c:v>
                </c:pt>
              </c:numCache>
            </c:numRef>
          </c:val>
          <c:extLst>
            <c:ext xmlns:c16="http://schemas.microsoft.com/office/drawing/2014/chart" uri="{C3380CC4-5D6E-409C-BE32-E72D297353CC}">
              <c16:uniqueId val="{00000000-160E-4F1D-9A8F-71458BBB56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FEES v/s YEARLY FEES</a:t>
            </a:r>
          </a:p>
        </c:rich>
      </c:tx>
      <c:layout>
        <c:manualLayout>
          <c:xMode val="edge"/>
          <c:yMode val="edge"/>
          <c:x val="0.1060541455130745"/>
          <c:y val="2.51038250718028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722222222222224E-2"/>
          <c:y val="0.23063502478856815"/>
          <c:w val="0.93055555555555558"/>
          <c:h val="0.64824329250510349"/>
        </c:manualLayout>
      </c:layout>
      <c:pie3DChart>
        <c:varyColors val="1"/>
        <c:ser>
          <c:idx val="0"/>
          <c:order val="0"/>
          <c:explosion val="22"/>
          <c:dPt>
            <c:idx val="0"/>
            <c:bubble3D val="0"/>
            <c:explosion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ABC1-4518-BEB4-1B554A06E989}"/>
              </c:ext>
            </c:extLst>
          </c:dPt>
          <c:dPt>
            <c:idx val="1"/>
            <c:bubble3D val="0"/>
            <c:explosion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ABC1-4518-BEB4-1B554A06E9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Dashboard_2!$B$14:$B$15</c:f>
              <c:strCache>
                <c:ptCount val="2"/>
                <c:pt idx="0">
                  <c:v>YEARLY FEES</c:v>
                </c:pt>
                <c:pt idx="1">
                  <c:v>MONTLY FEES</c:v>
                </c:pt>
              </c:strCache>
            </c:strRef>
          </c:cat>
          <c:val>
            <c:numRef>
              <c:f>Dashboard_2!$C$14:$C$15</c:f>
              <c:numCache>
                <c:formatCode>"₹"\ #,##0.00</c:formatCode>
                <c:ptCount val="2"/>
                <c:pt idx="0">
                  <c:v>5900</c:v>
                </c:pt>
                <c:pt idx="1">
                  <c:v>14350</c:v>
                </c:pt>
              </c:numCache>
            </c:numRef>
          </c:val>
          <c:extLst>
            <c:ext xmlns:c16="http://schemas.microsoft.com/office/drawing/2014/chart" uri="{C3380CC4-5D6E-409C-BE32-E72D297353CC}">
              <c16:uniqueId val="{00000000-ABC1-4518-BEB4-1B554A06E989}"/>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FEES RECEIVED MONTHLY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862099554628846E-2"/>
          <c:y val="0.16897227348627583"/>
          <c:w val="0.86179776308449252"/>
          <c:h val="0.59504022776990617"/>
        </c:manualLayout>
      </c:layout>
      <c:bar3DChart>
        <c:barDir val="col"/>
        <c:grouping val="clustered"/>
        <c:varyColors val="0"/>
        <c:ser>
          <c:idx val="1"/>
          <c:order val="1"/>
          <c:tx>
            <c:strRef>
              <c:f>Dashboard_2!$M$6</c:f>
              <c:strCache>
                <c:ptCount val="1"/>
                <c:pt idx="0">
                  <c:v>AMOUNT</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Dashboard_2!$K$7:$K$18</c:f>
              <c:strCache>
                <c:ptCount val="12"/>
                <c:pt idx="0">
                  <c:v>JUNE</c:v>
                </c:pt>
                <c:pt idx="1">
                  <c:v>JULY</c:v>
                </c:pt>
                <c:pt idx="2">
                  <c:v>AUGUST</c:v>
                </c:pt>
                <c:pt idx="3">
                  <c:v>SEPTEMBER</c:v>
                </c:pt>
                <c:pt idx="4">
                  <c:v>OCTOBER</c:v>
                </c:pt>
                <c:pt idx="5">
                  <c:v>NOVEMBER</c:v>
                </c:pt>
                <c:pt idx="6">
                  <c:v>DECEMBER</c:v>
                </c:pt>
                <c:pt idx="7">
                  <c:v>JANUARY</c:v>
                </c:pt>
                <c:pt idx="8">
                  <c:v>FEBRUARY</c:v>
                </c:pt>
                <c:pt idx="9">
                  <c:v>MARCH </c:v>
                </c:pt>
                <c:pt idx="10">
                  <c:v>APRIL</c:v>
                </c:pt>
                <c:pt idx="11">
                  <c:v>MAY</c:v>
                </c:pt>
              </c:strCache>
            </c:strRef>
          </c:cat>
          <c:val>
            <c:numRef>
              <c:f>Dashboard_2!$M$7:$M$18</c:f>
              <c:numCache>
                <c:formatCode>[$₹-4009]\ #,##0.00</c:formatCode>
                <c:ptCount val="12"/>
                <c:pt idx="0">
                  <c:v>4000</c:v>
                </c:pt>
                <c:pt idx="1">
                  <c:v>12250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0BB9-4C77-B7C2-EF0D25D669A0}"/>
            </c:ext>
          </c:extLst>
        </c:ser>
        <c:dLbls>
          <c:showLegendKey val="0"/>
          <c:showVal val="1"/>
          <c:showCatName val="0"/>
          <c:showSerName val="0"/>
          <c:showPercent val="0"/>
          <c:showBubbleSize val="0"/>
        </c:dLbls>
        <c:gapWidth val="65"/>
        <c:shape val="box"/>
        <c:axId val="1141247311"/>
        <c:axId val="1141248559"/>
        <c:axId val="0"/>
        <c:extLst>
          <c:ext xmlns:c15="http://schemas.microsoft.com/office/drawing/2012/chart" uri="{02D57815-91ED-43cb-92C2-25804820EDAC}">
            <c15:filteredBarSeries>
              <c15:ser>
                <c:idx val="0"/>
                <c:order val="0"/>
                <c:tx>
                  <c:strRef>
                    <c:extLst>
                      <c:ext uri="{02D57815-91ED-43cb-92C2-25804820EDAC}">
                        <c15:formulaRef>
                          <c15:sqref>Dashboard_2!$L$6</c15:sqref>
                        </c15:formulaRef>
                      </c:ext>
                    </c:extLst>
                    <c:strCache>
                      <c:ptCount val="1"/>
                      <c:pt idx="0">
                        <c:v>TOTAL PAID FEES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elete val="1"/>
                </c:dLbls>
                <c:cat>
                  <c:strRef>
                    <c:extLst>
                      <c:ext uri="{02D57815-91ED-43cb-92C2-25804820EDAC}">
                        <c15:formulaRef>
                          <c15:sqref>Dashboard_2!$K$7:$K$18</c15:sqref>
                        </c15:formulaRef>
                      </c:ext>
                    </c:extLst>
                    <c:strCache>
                      <c:ptCount val="12"/>
                      <c:pt idx="0">
                        <c:v>JUNE</c:v>
                      </c:pt>
                      <c:pt idx="1">
                        <c:v>JULY</c:v>
                      </c:pt>
                      <c:pt idx="2">
                        <c:v>AUGUST</c:v>
                      </c:pt>
                      <c:pt idx="3">
                        <c:v>SEPTEMBER</c:v>
                      </c:pt>
                      <c:pt idx="4">
                        <c:v>OCTOBER</c:v>
                      </c:pt>
                      <c:pt idx="5">
                        <c:v>NOVEMBER</c:v>
                      </c:pt>
                      <c:pt idx="6">
                        <c:v>DECEMBER</c:v>
                      </c:pt>
                      <c:pt idx="7">
                        <c:v>JANUARY</c:v>
                      </c:pt>
                      <c:pt idx="8">
                        <c:v>FEBRUARY</c:v>
                      </c:pt>
                      <c:pt idx="9">
                        <c:v>MARCH </c:v>
                      </c:pt>
                      <c:pt idx="10">
                        <c:v>APRIL</c:v>
                      </c:pt>
                      <c:pt idx="11">
                        <c:v>MAY</c:v>
                      </c:pt>
                    </c:strCache>
                  </c:strRef>
                </c:cat>
                <c:val>
                  <c:numRef>
                    <c:extLst>
                      <c:ext uri="{02D57815-91ED-43cb-92C2-25804820EDAC}">
                        <c15:formulaRef>
                          <c15:sqref>Dashboard_2!$L$7:$L$18</c15:sqref>
                        </c15:formulaRef>
                      </c:ext>
                    </c:extLst>
                    <c:numCache>
                      <c:formatCode>General</c:formatCode>
                      <c:ptCount val="12"/>
                      <c:pt idx="0">
                        <c:v>16</c:v>
                      </c:pt>
                      <c:pt idx="1">
                        <c:v>36</c:v>
                      </c:pt>
                      <c:pt idx="2">
                        <c:v>3</c:v>
                      </c:pt>
                      <c:pt idx="3">
                        <c:v>3</c:v>
                      </c:pt>
                      <c:pt idx="4">
                        <c:v>3</c:v>
                      </c:pt>
                      <c:pt idx="5">
                        <c:v>3</c:v>
                      </c:pt>
                      <c:pt idx="6">
                        <c:v>3</c:v>
                      </c:pt>
                      <c:pt idx="7">
                        <c:v>3</c:v>
                      </c:pt>
                      <c:pt idx="8">
                        <c:v>3</c:v>
                      </c:pt>
                      <c:pt idx="9">
                        <c:v>3</c:v>
                      </c:pt>
                      <c:pt idx="10">
                        <c:v>3</c:v>
                      </c:pt>
                      <c:pt idx="11">
                        <c:v>0</c:v>
                      </c:pt>
                    </c:numCache>
                  </c:numRef>
                </c:val>
                <c:extLst>
                  <c:ext xmlns:c16="http://schemas.microsoft.com/office/drawing/2014/chart" uri="{C3380CC4-5D6E-409C-BE32-E72D297353CC}">
                    <c16:uniqueId val="{00000000-0BB9-4C77-B7C2-EF0D25D669A0}"/>
                  </c:ext>
                </c:extLst>
              </c15:ser>
            </c15:filteredBarSeries>
          </c:ext>
        </c:extLst>
      </c:bar3DChart>
      <c:catAx>
        <c:axId val="11412473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1248559"/>
        <c:crosses val="autoZero"/>
        <c:auto val="1"/>
        <c:lblAlgn val="ctr"/>
        <c:lblOffset val="100"/>
        <c:noMultiLvlLbl val="0"/>
      </c:catAx>
      <c:valAx>
        <c:axId val="1141248559"/>
        <c:scaling>
          <c:orientation val="minMax"/>
        </c:scaling>
        <c:delete val="0"/>
        <c:axPos val="l"/>
        <c:majorGridlines>
          <c:spPr>
            <a:ln w="9525" cap="flat" cmpd="sng" algn="ctr">
              <a:solidFill>
                <a:schemeClr val="dk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41247311"/>
        <c:crosses val="autoZero"/>
        <c:crossBetween val="between"/>
      </c:valAx>
      <c:spPr>
        <a:noFill/>
        <a:ln>
          <a:noFill/>
        </a:ln>
        <a:effectLst/>
      </c:spPr>
    </c:plotArea>
    <c:legend>
      <c:legendPos val="r"/>
      <c:layout>
        <c:manualLayout>
          <c:xMode val="edge"/>
          <c:yMode val="edge"/>
          <c:x val="0.84833776046586484"/>
          <c:y val="6.3020071595643018E-2"/>
          <c:w val="0.11746356424548055"/>
          <c:h val="0.1426317194085596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3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MATHS TEST</a:t>
            </a:r>
            <a:r>
              <a:rPr lang="en-IN" baseline="0"/>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5.5444551206059622E-2"/>
          <c:y val="0.14856481481481484"/>
          <c:w val="0.91510754499586122"/>
          <c:h val="0.74403579760863225"/>
        </c:manualLayout>
      </c:layout>
      <c:barChart>
        <c:barDir val="col"/>
        <c:grouping val="clustered"/>
        <c:varyColors val="0"/>
        <c:ser>
          <c:idx val="1"/>
          <c:order val="1"/>
          <c:tx>
            <c:strRef>
              <c:f>'Maths Test Summary '!$B$5</c:f>
              <c:strCache>
                <c:ptCount val="1"/>
                <c:pt idx="0">
                  <c:v>NAME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delete val="1"/>
          </c:dLbls>
          <c:cat>
            <c:strRef>
              <c:f>'Maths Test Summary '!$B$6:$B$20</c:f>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f>'Maths Test Summary '!$B$6:$B$20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9333-450F-9D03-75D97BA3706A}"/>
            </c:ext>
          </c:extLst>
        </c:ser>
        <c:ser>
          <c:idx val="12"/>
          <c:order val="12"/>
          <c:tx>
            <c:strRef>
              <c:f>'Maths Test Summary '!$M$5</c:f>
              <c:strCache>
                <c:ptCount val="1"/>
                <c:pt idx="0">
                  <c:v>OVERALL %</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'Maths Test Summary '!$B$6:$B$20</c:f>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f>'Maths Test Summary '!$M$6:$M$20</c:f>
              <c:numCache>
                <c:formatCode>0%</c:formatCode>
                <c:ptCount val="15"/>
                <c:pt idx="0">
                  <c:v>0.6</c:v>
                </c:pt>
                <c:pt idx="1">
                  <c:v>0.70000000000000007</c:v>
                </c:pt>
                <c:pt idx="2">
                  <c:v>0.6166666666666667</c:v>
                </c:pt>
                <c:pt idx="3">
                  <c:v>0.81666666666666665</c:v>
                </c:pt>
                <c:pt idx="4">
                  <c:v>0.42222222222222222</c:v>
                </c:pt>
                <c:pt idx="5">
                  <c:v>0.43333333333333335</c:v>
                </c:pt>
                <c:pt idx="6">
                  <c:v>0.66666666666666663</c:v>
                </c:pt>
                <c:pt idx="7">
                  <c:v>0.53333333333333333</c:v>
                </c:pt>
                <c:pt idx="8">
                  <c:v>0.46666666666666667</c:v>
                </c:pt>
                <c:pt idx="9">
                  <c:v>0.53333333333333333</c:v>
                </c:pt>
                <c:pt idx="10">
                  <c:v>0.6</c:v>
                </c:pt>
                <c:pt idx="11">
                  <c:v>0.8</c:v>
                </c:pt>
                <c:pt idx="12">
                  <c:v>0</c:v>
                </c:pt>
                <c:pt idx="13">
                  <c:v>0</c:v>
                </c:pt>
                <c:pt idx="14">
                  <c:v>0</c:v>
                </c:pt>
              </c:numCache>
            </c:numRef>
          </c:val>
          <c:extLst>
            <c:ext xmlns:c16="http://schemas.microsoft.com/office/drawing/2014/chart" uri="{C3380CC4-5D6E-409C-BE32-E72D297353CC}">
              <c16:uniqueId val="{0000000C-9333-450F-9D03-75D97BA3706A}"/>
            </c:ext>
          </c:extLst>
        </c:ser>
        <c:dLbls>
          <c:showLegendKey val="0"/>
          <c:showVal val="1"/>
          <c:showCatName val="0"/>
          <c:showSerName val="0"/>
          <c:showPercent val="0"/>
          <c:showBubbleSize val="0"/>
        </c:dLbls>
        <c:gapWidth val="315"/>
        <c:overlap val="-40"/>
        <c:axId val="1941993599"/>
        <c:axId val="1942003999"/>
        <c:extLst>
          <c:ext xmlns:c15="http://schemas.microsoft.com/office/drawing/2012/chart" uri="{02D57815-91ED-43cb-92C2-25804820EDAC}">
            <c15:filteredBarSeries>
              <c15:ser>
                <c:idx val="0"/>
                <c:order val="0"/>
                <c:tx>
                  <c:strRef>
                    <c:extLst>
                      <c:ext uri="{02D57815-91ED-43cb-92C2-25804820EDAC}">
                        <c15:formulaRef>
                          <c15:sqref>'Maths Test Summary '!$A$5</c15:sqref>
                        </c15:formulaRef>
                      </c:ext>
                    </c:extLst>
                    <c:strCache>
                      <c:ptCount val="1"/>
                      <c:pt idx="0">
                        <c:v>SR.NO.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lt1">
                                <a:lumMod val="50000"/>
                              </a:schemeClr>
                            </a:solidFill>
                            <a:round/>
                          </a:ln>
                          <a:effectLst/>
                        </c:spPr>
                      </c15:leaderLines>
                    </c:ext>
                  </c:extLst>
                </c:dLbls>
                <c:cat>
                  <c:strRef>
                    <c:extLst>
                      <c:ext uri="{02D57815-91ED-43cb-92C2-25804820EDAC}">
                        <c15:formulaRef>
                          <c15:sqref>'Maths Test Summary '!$B$6:$B$20</c15:sqref>
                        </c15:formulaRef>
                      </c:ext>
                    </c:extLst>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extLst>
                      <c:ext uri="{02D57815-91ED-43cb-92C2-25804820EDAC}">
                        <c15:formulaRef>
                          <c15:sqref>'Maths Test Summary '!$A$6:$A$20</c15:sqref>
                        </c15:formulaRef>
                      </c:ext>
                    </c:extLst>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val>
                <c:extLst>
                  <c:ext xmlns:c16="http://schemas.microsoft.com/office/drawing/2014/chart" uri="{C3380CC4-5D6E-409C-BE32-E72D297353CC}">
                    <c16:uniqueId val="{00000000-9333-450F-9D03-75D97BA3706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'Maths Test Summary '!$C$5</c15:sqref>
                        </c15:formulaRef>
                      </c:ext>
                    </c:extLst>
                    <c:strCache>
                      <c:ptCount val="1"/>
                      <c:pt idx="0">
                        <c:v>TEST 01</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'Maths Test Summary '!$B$6:$B$20</c15:sqref>
                        </c15:formulaRef>
                      </c:ext>
                    </c:extLst>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extLst xmlns:c15="http://schemas.microsoft.com/office/drawing/2012/chart">
                      <c:ext xmlns:c15="http://schemas.microsoft.com/office/drawing/2012/chart" uri="{02D57815-91ED-43cb-92C2-25804820EDAC}">
                        <c15:formulaRef>
                          <c15:sqref>'Maths Test Summary '!$C$6:$C$20</c15:sqref>
                        </c15:formulaRef>
                      </c:ext>
                    </c:extLst>
                    <c:numCache>
                      <c:formatCode>0%</c:formatCode>
                      <c:ptCount val="15"/>
                      <c:pt idx="0">
                        <c:v>0.6</c:v>
                      </c:pt>
                      <c:pt idx="1">
                        <c:v>0.8</c:v>
                      </c:pt>
                      <c:pt idx="2">
                        <c:v>0.93333333333333335</c:v>
                      </c:pt>
                      <c:pt idx="3">
                        <c:v>0.93333333333333335</c:v>
                      </c:pt>
                      <c:pt idx="4">
                        <c:v>0.66666666666666663</c:v>
                      </c:pt>
                      <c:pt idx="5">
                        <c:v>0.4</c:v>
                      </c:pt>
                      <c:pt idx="6">
                        <c:v>0.66666666666666663</c:v>
                      </c:pt>
                      <c:pt idx="7">
                        <c:v>0.53333333333333333</c:v>
                      </c:pt>
                      <c:pt idx="8">
                        <c:v>0.46666666666666667</c:v>
                      </c:pt>
                      <c:pt idx="9">
                        <c:v>0.53333333333333333</c:v>
                      </c:pt>
                      <c:pt idx="10">
                        <c:v>0.6</c:v>
                      </c:pt>
                      <c:pt idx="11">
                        <c:v>0.8</c:v>
                      </c:pt>
                    </c:numCache>
                  </c:numRef>
                </c:val>
                <c:extLst xmlns:c15="http://schemas.microsoft.com/office/drawing/2012/chart">
                  <c:ext xmlns:c16="http://schemas.microsoft.com/office/drawing/2014/chart" uri="{C3380CC4-5D6E-409C-BE32-E72D297353CC}">
                    <c16:uniqueId val="{00000002-9333-450F-9D03-75D97BA3706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'Maths Test Summary '!$D$5</c15:sqref>
                        </c15:formulaRef>
                      </c:ext>
                    </c:extLst>
                    <c:strCache>
                      <c:ptCount val="1"/>
                      <c:pt idx="0">
                        <c:v>TEST 02</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'Maths Test Summary '!$B$6:$B$20</c15:sqref>
                        </c15:formulaRef>
                      </c:ext>
                    </c:extLst>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extLst xmlns:c15="http://schemas.microsoft.com/office/drawing/2012/chart">
                      <c:ext xmlns:c15="http://schemas.microsoft.com/office/drawing/2012/chart" uri="{02D57815-91ED-43cb-92C2-25804820EDAC}">
                        <c15:formulaRef>
                          <c15:sqref>'Maths Test Summary '!$D$6:$D$20</c15:sqref>
                        </c15:formulaRef>
                      </c:ext>
                    </c:extLst>
                    <c:numCache>
                      <c:formatCode>0%</c:formatCode>
                      <c:ptCount val="15"/>
                      <c:pt idx="0">
                        <c:v>0.8</c:v>
                      </c:pt>
                      <c:pt idx="1">
                        <c:v>0.66666666666666663</c:v>
                      </c:pt>
                      <c:pt idx="2">
                        <c:v>0.4</c:v>
                      </c:pt>
                      <c:pt idx="3">
                        <c:v>0.8</c:v>
                      </c:pt>
                      <c:pt idx="4">
                        <c:v>0.53333333333333333</c:v>
                      </c:pt>
                      <c:pt idx="5">
                        <c:v>0.46666666666666667</c:v>
                      </c:pt>
                    </c:numCache>
                  </c:numRef>
                </c:val>
                <c:extLst xmlns:c15="http://schemas.microsoft.com/office/drawing/2012/chart">
                  <c:ext xmlns:c16="http://schemas.microsoft.com/office/drawing/2014/chart" uri="{C3380CC4-5D6E-409C-BE32-E72D297353CC}">
                    <c16:uniqueId val="{00000003-9333-450F-9D03-75D97BA3706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'Maths Test Summary '!$E$5</c15:sqref>
                        </c15:formulaRef>
                      </c:ext>
                    </c:extLst>
                    <c:strCache>
                      <c:ptCount val="1"/>
                      <c:pt idx="0">
                        <c:v>TEST 03</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'Maths Test Summary '!$B$6:$B$20</c15:sqref>
                        </c15:formulaRef>
                      </c:ext>
                    </c:extLst>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extLst xmlns:c15="http://schemas.microsoft.com/office/drawing/2012/chart">
                      <c:ext xmlns:c15="http://schemas.microsoft.com/office/drawing/2012/chart" uri="{02D57815-91ED-43cb-92C2-25804820EDAC}">
                        <c15:formulaRef>
                          <c15:sqref>'Maths Test Summary '!$E$6:$E$20</c15:sqref>
                        </c15:formulaRef>
                      </c:ext>
                    </c:extLst>
                    <c:numCache>
                      <c:formatCode>0%</c:formatCode>
                      <c:ptCount val="15"/>
                      <c:pt idx="0">
                        <c:v>0.2</c:v>
                      </c:pt>
                      <c:pt idx="1">
                        <c:v>0.73333333333333328</c:v>
                      </c:pt>
                      <c:pt idx="2">
                        <c:v>0.73333333333333328</c:v>
                      </c:pt>
                      <c:pt idx="3">
                        <c:v>0.66666666666666663</c:v>
                      </c:pt>
                      <c:pt idx="4">
                        <c:v>6.6666666666666666E-2</c:v>
                      </c:pt>
                    </c:numCache>
                  </c:numRef>
                </c:val>
                <c:extLst xmlns:c15="http://schemas.microsoft.com/office/drawing/2012/chart">
                  <c:ext xmlns:c16="http://schemas.microsoft.com/office/drawing/2014/chart" uri="{C3380CC4-5D6E-409C-BE32-E72D297353CC}">
                    <c16:uniqueId val="{00000004-9333-450F-9D03-75D97BA3706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'Maths Test Summary '!$F$5</c15:sqref>
                        </c15:formulaRef>
                      </c:ext>
                    </c:extLst>
                    <c:strCache>
                      <c:ptCount val="1"/>
                      <c:pt idx="0">
                        <c:v>TEST 04</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'Maths Test Summary '!$B$6:$B$20</c15:sqref>
                        </c15:formulaRef>
                      </c:ext>
                    </c:extLst>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extLst xmlns:c15="http://schemas.microsoft.com/office/drawing/2012/chart">
                      <c:ext xmlns:c15="http://schemas.microsoft.com/office/drawing/2012/chart" uri="{02D57815-91ED-43cb-92C2-25804820EDAC}">
                        <c15:formulaRef>
                          <c15:sqref>'Maths Test Summary '!$F$6:$F$20</c15:sqref>
                        </c15:formulaRef>
                      </c:ext>
                    </c:extLst>
                    <c:numCache>
                      <c:formatCode>0%</c:formatCode>
                      <c:ptCount val="15"/>
                      <c:pt idx="0">
                        <c:v>0.8</c:v>
                      </c:pt>
                      <c:pt idx="1">
                        <c:v>0.6</c:v>
                      </c:pt>
                      <c:pt idx="2">
                        <c:v>0.4</c:v>
                      </c:pt>
                      <c:pt idx="3">
                        <c:v>0.8666666666666667</c:v>
                      </c:pt>
                    </c:numCache>
                  </c:numRef>
                </c:val>
                <c:extLst xmlns:c15="http://schemas.microsoft.com/office/drawing/2012/chart">
                  <c:ext xmlns:c16="http://schemas.microsoft.com/office/drawing/2014/chart" uri="{C3380CC4-5D6E-409C-BE32-E72D297353CC}">
                    <c16:uniqueId val="{00000005-9333-450F-9D03-75D97BA3706A}"/>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'Maths Test Summary '!$G$5</c15:sqref>
                        </c15:formulaRef>
                      </c:ext>
                    </c:extLst>
                    <c:strCache>
                      <c:ptCount val="1"/>
                      <c:pt idx="0">
                        <c:v>TEST 05</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'Maths Test Summary '!$B$6:$B$20</c15:sqref>
                        </c15:formulaRef>
                      </c:ext>
                    </c:extLst>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extLst xmlns:c15="http://schemas.microsoft.com/office/drawing/2012/chart">
                      <c:ext xmlns:c15="http://schemas.microsoft.com/office/drawing/2012/chart" uri="{02D57815-91ED-43cb-92C2-25804820EDAC}">
                        <c15:formulaRef>
                          <c15:sqref>'Maths Test Summary '!$G$6:$G$20</c15:sqref>
                        </c15:formulaRef>
                      </c:ext>
                    </c:extLst>
                    <c:numCache>
                      <c:formatCode>0%</c:formatCode>
                      <c:ptCount val="15"/>
                    </c:numCache>
                  </c:numRef>
                </c:val>
                <c:extLst xmlns:c15="http://schemas.microsoft.com/office/drawing/2012/chart">
                  <c:ext xmlns:c16="http://schemas.microsoft.com/office/drawing/2014/chart" uri="{C3380CC4-5D6E-409C-BE32-E72D297353CC}">
                    <c16:uniqueId val="{00000006-9333-450F-9D03-75D97BA3706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'Maths Test Summary '!$H$5</c15:sqref>
                        </c15:formulaRef>
                      </c:ext>
                    </c:extLst>
                    <c:strCache>
                      <c:ptCount val="1"/>
                      <c:pt idx="0">
                        <c:v>TEST 06</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'Maths Test Summary '!$B$6:$B$20</c15:sqref>
                        </c15:formulaRef>
                      </c:ext>
                    </c:extLst>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extLst xmlns:c15="http://schemas.microsoft.com/office/drawing/2012/chart">
                      <c:ext xmlns:c15="http://schemas.microsoft.com/office/drawing/2012/chart" uri="{02D57815-91ED-43cb-92C2-25804820EDAC}">
                        <c15:formulaRef>
                          <c15:sqref>'Maths Test Summary '!$H$6:$H$20</c15:sqref>
                        </c15:formulaRef>
                      </c:ext>
                    </c:extLst>
                    <c:numCache>
                      <c:formatCode>0%</c:formatCode>
                      <c:ptCount val="15"/>
                    </c:numCache>
                  </c:numRef>
                </c:val>
                <c:extLst xmlns:c15="http://schemas.microsoft.com/office/drawing/2012/chart">
                  <c:ext xmlns:c16="http://schemas.microsoft.com/office/drawing/2014/chart" uri="{C3380CC4-5D6E-409C-BE32-E72D297353CC}">
                    <c16:uniqueId val="{00000007-9333-450F-9D03-75D97BA3706A}"/>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'Maths Test Summary '!$I$5</c15:sqref>
                        </c15:formulaRef>
                      </c:ext>
                    </c:extLst>
                    <c:strCache>
                      <c:ptCount val="1"/>
                      <c:pt idx="0">
                        <c:v>TEST 07</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'Maths Test Summary '!$B$6:$B$20</c15:sqref>
                        </c15:formulaRef>
                      </c:ext>
                    </c:extLst>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extLst xmlns:c15="http://schemas.microsoft.com/office/drawing/2012/chart">
                      <c:ext xmlns:c15="http://schemas.microsoft.com/office/drawing/2012/chart" uri="{02D57815-91ED-43cb-92C2-25804820EDAC}">
                        <c15:formulaRef>
                          <c15:sqref>'Maths Test Summary '!$I$6:$I$20</c15:sqref>
                        </c15:formulaRef>
                      </c:ext>
                    </c:extLst>
                    <c:numCache>
                      <c:formatCode>0%</c:formatCode>
                      <c:ptCount val="15"/>
                    </c:numCache>
                  </c:numRef>
                </c:val>
                <c:extLst xmlns:c15="http://schemas.microsoft.com/office/drawing/2012/chart">
                  <c:ext xmlns:c16="http://schemas.microsoft.com/office/drawing/2014/chart" uri="{C3380CC4-5D6E-409C-BE32-E72D297353CC}">
                    <c16:uniqueId val="{00000008-9333-450F-9D03-75D97BA3706A}"/>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'Maths Test Summary '!$J$5</c15:sqref>
                        </c15:formulaRef>
                      </c:ext>
                    </c:extLst>
                    <c:strCache>
                      <c:ptCount val="1"/>
                      <c:pt idx="0">
                        <c:v>TEST 08</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'Maths Test Summary '!$B$6:$B$20</c15:sqref>
                        </c15:formulaRef>
                      </c:ext>
                    </c:extLst>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extLst xmlns:c15="http://schemas.microsoft.com/office/drawing/2012/chart">
                      <c:ext xmlns:c15="http://schemas.microsoft.com/office/drawing/2012/chart" uri="{02D57815-91ED-43cb-92C2-25804820EDAC}">
                        <c15:formulaRef>
                          <c15:sqref>'Maths Test Summary '!$J$6:$J$20</c15:sqref>
                        </c15:formulaRef>
                      </c:ext>
                    </c:extLst>
                    <c:numCache>
                      <c:formatCode>0%</c:formatCode>
                      <c:ptCount val="15"/>
                    </c:numCache>
                  </c:numRef>
                </c:val>
                <c:extLst xmlns:c15="http://schemas.microsoft.com/office/drawing/2012/chart">
                  <c:ext xmlns:c16="http://schemas.microsoft.com/office/drawing/2014/chart" uri="{C3380CC4-5D6E-409C-BE32-E72D297353CC}">
                    <c16:uniqueId val="{00000009-9333-450F-9D03-75D97BA3706A}"/>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'Maths Test Summary '!$K$5</c15:sqref>
                        </c15:formulaRef>
                      </c:ext>
                    </c:extLst>
                    <c:strCache>
                      <c:ptCount val="1"/>
                      <c:pt idx="0">
                        <c:v>TEST 09</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'Maths Test Summary '!$B$6:$B$20</c15:sqref>
                        </c15:formulaRef>
                      </c:ext>
                    </c:extLst>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extLst xmlns:c15="http://schemas.microsoft.com/office/drawing/2012/chart">
                      <c:ext xmlns:c15="http://schemas.microsoft.com/office/drawing/2012/chart" uri="{02D57815-91ED-43cb-92C2-25804820EDAC}">
                        <c15:formulaRef>
                          <c15:sqref>'Maths Test Summary '!$K$6:$K$20</c15:sqref>
                        </c15:formulaRef>
                      </c:ext>
                    </c:extLst>
                    <c:numCache>
                      <c:formatCode>0%</c:formatCode>
                      <c:ptCount val="15"/>
                    </c:numCache>
                  </c:numRef>
                </c:val>
                <c:extLst xmlns:c15="http://schemas.microsoft.com/office/drawing/2012/chart">
                  <c:ext xmlns:c16="http://schemas.microsoft.com/office/drawing/2014/chart" uri="{C3380CC4-5D6E-409C-BE32-E72D297353CC}">
                    <c16:uniqueId val="{0000000A-9333-450F-9D03-75D97BA3706A}"/>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'Maths Test Summary '!$L$5</c15:sqref>
                        </c15:formulaRef>
                      </c:ext>
                    </c:extLst>
                    <c:strCache>
                      <c:ptCount val="1"/>
                      <c:pt idx="0">
                        <c:v>TEST 10</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'Maths Test Summary '!$B$6:$B$20</c15:sqref>
                        </c15:formulaRef>
                      </c:ext>
                    </c:extLst>
                    <c:strCache>
                      <c:ptCount val="12"/>
                      <c:pt idx="0">
                        <c:v>ZEEDAN </c:v>
                      </c:pt>
                      <c:pt idx="1">
                        <c:v>BILAL</c:v>
                      </c:pt>
                      <c:pt idx="2">
                        <c:v>IQRA</c:v>
                      </c:pt>
                      <c:pt idx="3">
                        <c:v>NAYRA </c:v>
                      </c:pt>
                      <c:pt idx="4">
                        <c:v>JIYA</c:v>
                      </c:pt>
                      <c:pt idx="5">
                        <c:v>ANKITA</c:v>
                      </c:pt>
                      <c:pt idx="6">
                        <c:v>SHAALU</c:v>
                      </c:pt>
                      <c:pt idx="7">
                        <c:v>SARTHAK</c:v>
                      </c:pt>
                      <c:pt idx="8">
                        <c:v>KARISHMA</c:v>
                      </c:pt>
                      <c:pt idx="9">
                        <c:v>SHALINI</c:v>
                      </c:pt>
                      <c:pt idx="10">
                        <c:v>NIKHIL </c:v>
                      </c:pt>
                      <c:pt idx="11">
                        <c:v>SATYAM </c:v>
                      </c:pt>
                    </c:strCache>
                  </c:strRef>
                </c:cat>
                <c:val>
                  <c:numRef>
                    <c:extLst xmlns:c15="http://schemas.microsoft.com/office/drawing/2012/chart">
                      <c:ext xmlns:c15="http://schemas.microsoft.com/office/drawing/2012/chart" uri="{02D57815-91ED-43cb-92C2-25804820EDAC}">
                        <c15:formulaRef>
                          <c15:sqref>'Maths Test Summary '!$L$6:$L$20</c15:sqref>
                        </c15:formulaRef>
                      </c:ext>
                    </c:extLst>
                    <c:numCache>
                      <c:formatCode>0%</c:formatCode>
                      <c:ptCount val="15"/>
                    </c:numCache>
                  </c:numRef>
                </c:val>
                <c:extLst xmlns:c15="http://schemas.microsoft.com/office/drawing/2012/chart">
                  <c:ext xmlns:c16="http://schemas.microsoft.com/office/drawing/2014/chart" uri="{C3380CC4-5D6E-409C-BE32-E72D297353CC}">
                    <c16:uniqueId val="{0000000B-9333-450F-9D03-75D97BA3706A}"/>
                  </c:ext>
                </c:extLst>
              </c15:ser>
            </c15:filteredBarSeries>
          </c:ext>
        </c:extLst>
      </c:barChart>
      <c:catAx>
        <c:axId val="1941993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2003999"/>
        <c:crosses val="autoZero"/>
        <c:auto val="1"/>
        <c:lblAlgn val="ctr"/>
        <c:lblOffset val="100"/>
        <c:noMultiLvlLbl val="0"/>
      </c:catAx>
      <c:valAx>
        <c:axId val="1942003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1993599"/>
        <c:crosses val="autoZero"/>
        <c:crossBetween val="between"/>
      </c:valAx>
      <c:spPr>
        <a:noFill/>
        <a:ln>
          <a:noFill/>
        </a:ln>
        <a:effectLst/>
      </c:spPr>
    </c:plotArea>
    <c:legend>
      <c:legendPos val="r"/>
      <c:legendEntry>
        <c:idx val="0"/>
        <c:delete val="1"/>
      </c:legendEntry>
      <c:legendEntry>
        <c:idx val="1"/>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legendEntry>
      <c:layout>
        <c:manualLayout>
          <c:xMode val="edge"/>
          <c:yMode val="edge"/>
          <c:x val="0.83998427688967547"/>
          <c:y val="3.29191537836011E-2"/>
          <c:w val="9.7156194437033216E-2"/>
          <c:h val="7.1096279589495603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PENDING FEES MONTLY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939587097067413E-2"/>
          <c:y val="0.18300925925925926"/>
          <c:w val="0.91191805569758322"/>
          <c:h val="0.6041506270049577"/>
        </c:manualLayout>
      </c:layout>
      <c:bar3DChart>
        <c:barDir val="col"/>
        <c:grouping val="clustered"/>
        <c:varyColors val="0"/>
        <c:ser>
          <c:idx val="1"/>
          <c:order val="1"/>
          <c:tx>
            <c:strRef>
              <c:f>Dashboard_2!$Q$6</c:f>
              <c:strCache>
                <c:ptCount val="1"/>
                <c:pt idx="0">
                  <c:v>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Dashboard_2!$O$7:$O$18</c:f>
              <c:strCache>
                <c:ptCount val="12"/>
                <c:pt idx="0">
                  <c:v>JUNE</c:v>
                </c:pt>
                <c:pt idx="1">
                  <c:v>JULY</c:v>
                </c:pt>
                <c:pt idx="2">
                  <c:v>AUGUST</c:v>
                </c:pt>
                <c:pt idx="3">
                  <c:v>SEPTEMBER</c:v>
                </c:pt>
                <c:pt idx="4">
                  <c:v>OCTOBER</c:v>
                </c:pt>
                <c:pt idx="5">
                  <c:v>NOVEMBER</c:v>
                </c:pt>
                <c:pt idx="6">
                  <c:v>DECEMBER</c:v>
                </c:pt>
                <c:pt idx="7">
                  <c:v>JANUARY</c:v>
                </c:pt>
                <c:pt idx="8">
                  <c:v>FEBRUARY</c:v>
                </c:pt>
                <c:pt idx="9">
                  <c:v>MARCH </c:v>
                </c:pt>
                <c:pt idx="10">
                  <c:v>APRIL</c:v>
                </c:pt>
                <c:pt idx="11">
                  <c:v>MAY</c:v>
                </c:pt>
              </c:strCache>
            </c:strRef>
          </c:cat>
          <c:val>
            <c:numRef>
              <c:f>Dashboard_2!$Q$7:$Q$18</c:f>
              <c:numCache>
                <c:formatCode>[$₹-4009]\ #,##0.00</c:formatCode>
                <c:ptCount val="12"/>
                <c:pt idx="0">
                  <c:v>5600</c:v>
                </c:pt>
                <c:pt idx="1">
                  <c:v>6600</c:v>
                </c:pt>
                <c:pt idx="2">
                  <c:v>5900</c:v>
                </c:pt>
                <c:pt idx="3">
                  <c:v>5900</c:v>
                </c:pt>
                <c:pt idx="4">
                  <c:v>5900</c:v>
                </c:pt>
                <c:pt idx="5">
                  <c:v>5900</c:v>
                </c:pt>
                <c:pt idx="6">
                  <c:v>5900</c:v>
                </c:pt>
                <c:pt idx="7">
                  <c:v>5900</c:v>
                </c:pt>
                <c:pt idx="8">
                  <c:v>5900</c:v>
                </c:pt>
                <c:pt idx="9">
                  <c:v>5900</c:v>
                </c:pt>
                <c:pt idx="10">
                  <c:v>5900</c:v>
                </c:pt>
                <c:pt idx="11">
                  <c:v>0</c:v>
                </c:pt>
              </c:numCache>
            </c:numRef>
          </c:val>
          <c:extLst>
            <c:ext xmlns:c16="http://schemas.microsoft.com/office/drawing/2014/chart" uri="{C3380CC4-5D6E-409C-BE32-E72D297353CC}">
              <c16:uniqueId val="{00000001-858C-4ECF-B69B-517EED91FAFD}"/>
            </c:ext>
          </c:extLst>
        </c:ser>
        <c:dLbls>
          <c:showLegendKey val="0"/>
          <c:showVal val="1"/>
          <c:showCatName val="0"/>
          <c:showSerName val="0"/>
          <c:showPercent val="0"/>
          <c:showBubbleSize val="0"/>
        </c:dLbls>
        <c:gapWidth val="150"/>
        <c:shape val="box"/>
        <c:axId val="1890431375"/>
        <c:axId val="1890430127"/>
        <c:axId val="0"/>
        <c:extLst>
          <c:ext xmlns:c15="http://schemas.microsoft.com/office/drawing/2012/chart" uri="{02D57815-91ED-43cb-92C2-25804820EDAC}">
            <c15:filteredBarSeries>
              <c15:ser>
                <c:idx val="0"/>
                <c:order val="0"/>
                <c:tx>
                  <c:strRef>
                    <c:extLst>
                      <c:ext uri="{02D57815-91ED-43cb-92C2-25804820EDAC}">
                        <c15:formulaRef>
                          <c15:sqref>Dashboard_2!$P$6</c15:sqref>
                        </c15:formulaRef>
                      </c:ext>
                    </c:extLst>
                    <c:strCache>
                      <c:ptCount val="1"/>
                      <c:pt idx="0">
                        <c:v>TOTAL PENDING FEES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Dashboard_2!$O$7:$O$18</c15:sqref>
                        </c15:formulaRef>
                      </c:ext>
                    </c:extLst>
                    <c:strCache>
                      <c:ptCount val="12"/>
                      <c:pt idx="0">
                        <c:v>JUNE</c:v>
                      </c:pt>
                      <c:pt idx="1">
                        <c:v>JULY</c:v>
                      </c:pt>
                      <c:pt idx="2">
                        <c:v>AUGUST</c:v>
                      </c:pt>
                      <c:pt idx="3">
                        <c:v>SEPTEMBER</c:v>
                      </c:pt>
                      <c:pt idx="4">
                        <c:v>OCTOBER</c:v>
                      </c:pt>
                      <c:pt idx="5">
                        <c:v>NOVEMBER</c:v>
                      </c:pt>
                      <c:pt idx="6">
                        <c:v>DECEMBER</c:v>
                      </c:pt>
                      <c:pt idx="7">
                        <c:v>JANUARY</c:v>
                      </c:pt>
                      <c:pt idx="8">
                        <c:v>FEBRUARY</c:v>
                      </c:pt>
                      <c:pt idx="9">
                        <c:v>MARCH </c:v>
                      </c:pt>
                      <c:pt idx="10">
                        <c:v>APRIL</c:v>
                      </c:pt>
                      <c:pt idx="11">
                        <c:v>MAY</c:v>
                      </c:pt>
                    </c:strCache>
                  </c:strRef>
                </c:cat>
                <c:val>
                  <c:numRef>
                    <c:extLst>
                      <c:ext uri="{02D57815-91ED-43cb-92C2-25804820EDAC}">
                        <c15:formulaRef>
                          <c15:sqref>Dashboard_2!$P$7:$P$18</c15:sqref>
                        </c15:formulaRef>
                      </c:ext>
                    </c:extLst>
                    <c:numCache>
                      <c:formatCode>General</c:formatCode>
                      <c:ptCount val="12"/>
                      <c:pt idx="0">
                        <c:v>11</c:v>
                      </c:pt>
                      <c:pt idx="1">
                        <c:v>15</c:v>
                      </c:pt>
                      <c:pt idx="2">
                        <c:v>12</c:v>
                      </c:pt>
                      <c:pt idx="3">
                        <c:v>12</c:v>
                      </c:pt>
                      <c:pt idx="4">
                        <c:v>12</c:v>
                      </c:pt>
                      <c:pt idx="5">
                        <c:v>12</c:v>
                      </c:pt>
                      <c:pt idx="6">
                        <c:v>12</c:v>
                      </c:pt>
                      <c:pt idx="7">
                        <c:v>12</c:v>
                      </c:pt>
                      <c:pt idx="8">
                        <c:v>12</c:v>
                      </c:pt>
                      <c:pt idx="9">
                        <c:v>12</c:v>
                      </c:pt>
                      <c:pt idx="10">
                        <c:v>12</c:v>
                      </c:pt>
                      <c:pt idx="11">
                        <c:v>0</c:v>
                      </c:pt>
                    </c:numCache>
                  </c:numRef>
                </c:val>
                <c:extLst>
                  <c:ext xmlns:c16="http://schemas.microsoft.com/office/drawing/2014/chart" uri="{C3380CC4-5D6E-409C-BE32-E72D297353CC}">
                    <c16:uniqueId val="{00000000-858C-4ECF-B69B-517EED91FAFD}"/>
                  </c:ext>
                </c:extLst>
              </c15:ser>
            </c15:filteredBarSeries>
          </c:ext>
        </c:extLst>
      </c:bar3DChart>
      <c:catAx>
        <c:axId val="1890431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0430127"/>
        <c:crosses val="autoZero"/>
        <c:auto val="1"/>
        <c:lblAlgn val="ctr"/>
        <c:lblOffset val="100"/>
        <c:noMultiLvlLbl val="0"/>
      </c:catAx>
      <c:valAx>
        <c:axId val="1890430127"/>
        <c:scaling>
          <c:orientation val="minMax"/>
        </c:scaling>
        <c:delete val="0"/>
        <c:axPos val="l"/>
        <c:majorGridlines>
          <c:spPr>
            <a:ln w="9525" cap="flat" cmpd="sng" algn="ctr">
              <a:solidFill>
                <a:schemeClr val="dk1">
                  <a:lumMod val="50000"/>
                  <a:lumOff val="50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0431375"/>
        <c:crosses val="autoZero"/>
        <c:crossBetween val="between"/>
      </c:valAx>
      <c:spPr>
        <a:noFill/>
        <a:ln>
          <a:noFill/>
        </a:ln>
        <a:effectLst/>
      </c:spPr>
    </c:plotArea>
    <c:legend>
      <c:legendPos val="b"/>
      <c:layout>
        <c:manualLayout>
          <c:xMode val="edge"/>
          <c:yMode val="edge"/>
          <c:x val="0.71813421049641513"/>
          <c:y val="3.4046874989189999E-2"/>
          <c:w val="0.13267829716535634"/>
          <c:h val="9.1708355846989692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Regular Fees '!A1"/><Relationship Id="rId3" Type="http://schemas.openxmlformats.org/officeDocument/2006/relationships/hyperlink" Target="#'Maths Test Summary '!A1"/><Relationship Id="rId7" Type="http://schemas.openxmlformats.org/officeDocument/2006/relationships/hyperlink" Target="#'All Names'!A1"/><Relationship Id="rId12" Type="http://schemas.openxmlformats.org/officeDocument/2006/relationships/hyperlink" Target="#'Graph Visualization'!A1"/><Relationship Id="rId2" Type="http://schemas.openxmlformats.org/officeDocument/2006/relationships/hyperlink" Target="#'Maths Test'!A1"/><Relationship Id="rId1" Type="http://schemas.openxmlformats.org/officeDocument/2006/relationships/hyperlink" Target="#Dashboard_1!A1"/><Relationship Id="rId6" Type="http://schemas.openxmlformats.org/officeDocument/2006/relationships/hyperlink" Target="#Dashboard_2!A1"/><Relationship Id="rId11" Type="http://schemas.openxmlformats.org/officeDocument/2006/relationships/hyperlink" Target="#'Yearly Fees'!A1"/><Relationship Id="rId5" Type="http://schemas.openxmlformats.org/officeDocument/2006/relationships/hyperlink" Target="#'10th std syllabus'!A1"/><Relationship Id="rId10" Type="http://schemas.openxmlformats.org/officeDocument/2006/relationships/hyperlink" Target="#Dashboard_3!A1"/><Relationship Id="rId4" Type="http://schemas.openxmlformats.org/officeDocument/2006/relationships/hyperlink" Target="#'Time Table '!A1"/><Relationship Id="rId9" Type="http://schemas.openxmlformats.org/officeDocument/2006/relationships/hyperlink" Target="#'Montly Fees Received'!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209550</xdr:colOff>
      <xdr:row>1</xdr:row>
      <xdr:rowOff>11906</xdr:rowOff>
    </xdr:from>
    <xdr:to>
      <xdr:col>3</xdr:col>
      <xdr:colOff>57150</xdr:colOff>
      <xdr:row>5</xdr:row>
      <xdr:rowOff>114300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9331FA0-745D-4537-B20B-A677ECD1AC49}"/>
            </a:ext>
          </a:extLst>
        </xdr:cNvPr>
        <xdr:cNvSpPr/>
      </xdr:nvSpPr>
      <xdr:spPr>
        <a:xfrm>
          <a:off x="209550" y="211931"/>
          <a:ext cx="1676400" cy="902494"/>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b="1" strike="noStrike"/>
            <a:t>DASHBOARD</a:t>
          </a:r>
          <a:r>
            <a:rPr lang="en-IN" sz="1300" b="1" strike="noStrike"/>
            <a:t>_1</a:t>
          </a:r>
        </a:p>
      </xdr:txBody>
    </xdr:sp>
    <xdr:clientData/>
  </xdr:twoCellAnchor>
  <xdr:twoCellAnchor>
    <xdr:from>
      <xdr:col>9</xdr:col>
      <xdr:colOff>209550</xdr:colOff>
      <xdr:row>1</xdr:row>
      <xdr:rowOff>50007</xdr:rowOff>
    </xdr:from>
    <xdr:to>
      <xdr:col>11</xdr:col>
      <xdr:colOff>264318</xdr:colOff>
      <xdr:row>4</xdr:row>
      <xdr:rowOff>38100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DA9F93C3-2561-41D0-BA37-F9BECF40080B}"/>
            </a:ext>
          </a:extLst>
        </xdr:cNvPr>
        <xdr:cNvSpPr/>
      </xdr:nvSpPr>
      <xdr:spPr>
        <a:xfrm>
          <a:off x="5695950" y="250032"/>
          <a:ext cx="1273968" cy="588168"/>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latin typeface="APTOS"/>
            </a:rPr>
            <a:t>MATHS TEST</a:t>
          </a:r>
        </a:p>
      </xdr:txBody>
    </xdr:sp>
    <xdr:clientData/>
  </xdr:twoCellAnchor>
  <xdr:twoCellAnchor>
    <xdr:from>
      <xdr:col>9</xdr:col>
      <xdr:colOff>245269</xdr:colOff>
      <xdr:row>12</xdr:row>
      <xdr:rowOff>47624</xdr:rowOff>
    </xdr:from>
    <xdr:to>
      <xdr:col>11</xdr:col>
      <xdr:colOff>300037</xdr:colOff>
      <xdr:row>15</xdr:row>
      <xdr:rowOff>66674</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8C226896-D27C-4F3A-B476-1692BB53E203}"/>
            </a:ext>
          </a:extLst>
        </xdr:cNvPr>
        <xdr:cNvSpPr/>
      </xdr:nvSpPr>
      <xdr:spPr>
        <a:xfrm>
          <a:off x="5731669" y="2447924"/>
          <a:ext cx="1273968" cy="619125"/>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latin typeface="APTOS"/>
            </a:rPr>
            <a:t>TEST SUMARY</a:t>
          </a:r>
        </a:p>
      </xdr:txBody>
    </xdr:sp>
    <xdr:clientData/>
  </xdr:twoCellAnchor>
  <xdr:twoCellAnchor>
    <xdr:from>
      <xdr:col>9</xdr:col>
      <xdr:colOff>214313</xdr:colOff>
      <xdr:row>4</xdr:row>
      <xdr:rowOff>133350</xdr:rowOff>
    </xdr:from>
    <xdr:to>
      <xdr:col>11</xdr:col>
      <xdr:colOff>269081</xdr:colOff>
      <xdr:row>7</xdr:row>
      <xdr:rowOff>133350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3C9C6828-0F19-4360-A97B-BC7E683D35BF}"/>
            </a:ext>
          </a:extLst>
        </xdr:cNvPr>
        <xdr:cNvSpPr/>
      </xdr:nvSpPr>
      <xdr:spPr>
        <a:xfrm>
          <a:off x="5700713" y="933450"/>
          <a:ext cx="1273968" cy="600075"/>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latin typeface="APTOS"/>
            </a:rPr>
            <a:t>TIME TABLE</a:t>
          </a:r>
        </a:p>
      </xdr:txBody>
    </xdr:sp>
    <xdr:clientData/>
  </xdr:twoCellAnchor>
  <xdr:twoCellAnchor>
    <xdr:from>
      <xdr:col>9</xdr:col>
      <xdr:colOff>226219</xdr:colOff>
      <xdr:row>8</xdr:row>
      <xdr:rowOff>76200</xdr:rowOff>
    </xdr:from>
    <xdr:to>
      <xdr:col>11</xdr:col>
      <xdr:colOff>295275</xdr:colOff>
      <xdr:row>11</xdr:row>
      <xdr:rowOff>121444</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DB48A61A-5E54-4A3F-A7FE-5B90996FECE3}"/>
            </a:ext>
          </a:extLst>
        </xdr:cNvPr>
        <xdr:cNvSpPr/>
      </xdr:nvSpPr>
      <xdr:spPr>
        <a:xfrm>
          <a:off x="5712619" y="1676400"/>
          <a:ext cx="1288256" cy="645319"/>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latin typeface="APTOS"/>
            </a:rPr>
            <a:t>10</a:t>
          </a:r>
          <a:r>
            <a:rPr lang="en-IN" sz="1300" b="1" baseline="0">
              <a:latin typeface="APTOS"/>
            </a:rPr>
            <a:t>th SYLLABUS</a:t>
          </a:r>
          <a:endParaRPr lang="en-IN" sz="1300" b="1">
            <a:latin typeface="APTOS"/>
          </a:endParaRPr>
        </a:p>
      </xdr:txBody>
    </xdr:sp>
    <xdr:clientData/>
  </xdr:twoCellAnchor>
  <xdr:twoCellAnchor>
    <xdr:from>
      <xdr:col>0</xdr:col>
      <xdr:colOff>228599</xdr:colOff>
      <xdr:row>5</xdr:row>
      <xdr:rowOff>192879</xdr:rowOff>
    </xdr:from>
    <xdr:to>
      <xdr:col>3</xdr:col>
      <xdr:colOff>66675</xdr:colOff>
      <xdr:row>10</xdr:row>
      <xdr:rowOff>85725</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782629AA-85BF-4C6F-A6CE-7B0C94B0B9F1}"/>
            </a:ext>
          </a:extLst>
        </xdr:cNvPr>
        <xdr:cNvSpPr/>
      </xdr:nvSpPr>
      <xdr:spPr>
        <a:xfrm>
          <a:off x="228599" y="1193004"/>
          <a:ext cx="1666876" cy="892971"/>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b="1">
              <a:latin typeface="APTOS"/>
            </a:rPr>
            <a:t>DASHBOARD_2</a:t>
          </a:r>
        </a:p>
      </xdr:txBody>
    </xdr:sp>
    <xdr:clientData/>
  </xdr:twoCellAnchor>
  <xdr:twoCellAnchor>
    <xdr:from>
      <xdr:col>3</xdr:col>
      <xdr:colOff>171449</xdr:colOff>
      <xdr:row>1</xdr:row>
      <xdr:rowOff>1</xdr:rowOff>
    </xdr:from>
    <xdr:to>
      <xdr:col>5</xdr:col>
      <xdr:colOff>561975</xdr:colOff>
      <xdr:row>5</xdr:row>
      <xdr:rowOff>133351</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FD49B58F-E0EC-4101-A76A-E0C3FA4A38F6}"/>
            </a:ext>
          </a:extLst>
        </xdr:cNvPr>
        <xdr:cNvSpPr/>
      </xdr:nvSpPr>
      <xdr:spPr>
        <a:xfrm>
          <a:off x="2000249" y="200026"/>
          <a:ext cx="1609726" cy="933450"/>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b="1">
              <a:latin typeface="APTOS"/>
            </a:rPr>
            <a:t>ALL NAMES</a:t>
          </a:r>
        </a:p>
      </xdr:txBody>
    </xdr:sp>
    <xdr:clientData/>
  </xdr:twoCellAnchor>
  <xdr:twoCellAnchor>
    <xdr:from>
      <xdr:col>3</xdr:col>
      <xdr:colOff>207168</xdr:colOff>
      <xdr:row>6</xdr:row>
      <xdr:rowOff>28575</xdr:rowOff>
    </xdr:from>
    <xdr:to>
      <xdr:col>5</xdr:col>
      <xdr:colOff>571499</xdr:colOff>
      <xdr:row>10</xdr:row>
      <xdr:rowOff>85725</xdr:rowOff>
    </xdr:to>
    <xdr:sp macro="" textlink="">
      <xdr:nvSpPr>
        <xdr:cNvPr id="9" name="Rectangle: Rounded Corners 8">
          <a:hlinkClick xmlns:r="http://schemas.openxmlformats.org/officeDocument/2006/relationships" r:id="rId8"/>
          <a:extLst>
            <a:ext uri="{FF2B5EF4-FFF2-40B4-BE49-F238E27FC236}">
              <a16:creationId xmlns:a16="http://schemas.microsoft.com/office/drawing/2014/main" id="{E7E88AE5-DC51-41F9-85F4-EC66951E14F4}"/>
            </a:ext>
          </a:extLst>
        </xdr:cNvPr>
        <xdr:cNvSpPr/>
      </xdr:nvSpPr>
      <xdr:spPr>
        <a:xfrm>
          <a:off x="2035968" y="1228725"/>
          <a:ext cx="1583531" cy="857250"/>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b="1">
              <a:latin typeface="APTOS"/>
            </a:rPr>
            <a:t>REGULAR FEES</a:t>
          </a:r>
        </a:p>
      </xdr:txBody>
    </xdr:sp>
    <xdr:clientData/>
  </xdr:twoCellAnchor>
  <xdr:twoCellAnchor>
    <xdr:from>
      <xdr:col>6</xdr:col>
      <xdr:colOff>83343</xdr:colOff>
      <xdr:row>1</xdr:row>
      <xdr:rowOff>11906</xdr:rowOff>
    </xdr:from>
    <xdr:to>
      <xdr:col>9</xdr:col>
      <xdr:colOff>66675</xdr:colOff>
      <xdr:row>5</xdr:row>
      <xdr:rowOff>123825</xdr:rowOff>
    </xdr:to>
    <xdr:sp macro="" textlink="">
      <xdr:nvSpPr>
        <xdr:cNvPr id="10" name="Rectangle: Rounded Corners 9">
          <a:hlinkClick xmlns:r="http://schemas.openxmlformats.org/officeDocument/2006/relationships" r:id="rId9"/>
          <a:extLst>
            <a:ext uri="{FF2B5EF4-FFF2-40B4-BE49-F238E27FC236}">
              <a16:creationId xmlns:a16="http://schemas.microsoft.com/office/drawing/2014/main" id="{2CA55BBD-EBE4-43E8-8A36-F6F9A1490DB5}"/>
            </a:ext>
          </a:extLst>
        </xdr:cNvPr>
        <xdr:cNvSpPr/>
      </xdr:nvSpPr>
      <xdr:spPr>
        <a:xfrm>
          <a:off x="3740943" y="211931"/>
          <a:ext cx="1812132" cy="912019"/>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b="1">
              <a:latin typeface="APTOS"/>
            </a:rPr>
            <a:t>MONTLY FEES</a:t>
          </a:r>
        </a:p>
      </xdr:txBody>
    </xdr:sp>
    <xdr:clientData/>
  </xdr:twoCellAnchor>
  <xdr:twoCellAnchor>
    <xdr:from>
      <xdr:col>0</xdr:col>
      <xdr:colOff>209550</xdr:colOff>
      <xdr:row>10</xdr:row>
      <xdr:rowOff>173831</xdr:rowOff>
    </xdr:from>
    <xdr:to>
      <xdr:col>3</xdr:col>
      <xdr:colOff>57150</xdr:colOff>
      <xdr:row>15</xdr:row>
      <xdr:rowOff>85725</xdr:rowOff>
    </xdr:to>
    <xdr:sp macro="" textlink="">
      <xdr:nvSpPr>
        <xdr:cNvPr id="11" name="Rectangle: Rounded Corners 10">
          <a:hlinkClick xmlns:r="http://schemas.openxmlformats.org/officeDocument/2006/relationships" r:id="rId10"/>
          <a:extLst>
            <a:ext uri="{FF2B5EF4-FFF2-40B4-BE49-F238E27FC236}">
              <a16:creationId xmlns:a16="http://schemas.microsoft.com/office/drawing/2014/main" id="{E602EA8D-E4CD-4C8C-9F0F-7F03B3B55690}"/>
            </a:ext>
          </a:extLst>
        </xdr:cNvPr>
        <xdr:cNvSpPr/>
      </xdr:nvSpPr>
      <xdr:spPr>
        <a:xfrm>
          <a:off x="209550" y="2174081"/>
          <a:ext cx="1676400" cy="912019"/>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b="1">
              <a:latin typeface="APTOS"/>
            </a:rPr>
            <a:t>DASHBOARD_3</a:t>
          </a:r>
        </a:p>
      </xdr:txBody>
    </xdr:sp>
    <xdr:clientData/>
  </xdr:twoCellAnchor>
  <xdr:twoCellAnchor>
    <xdr:from>
      <xdr:col>6</xdr:col>
      <xdr:colOff>140493</xdr:colOff>
      <xdr:row>6</xdr:row>
      <xdr:rowOff>61912</xdr:rowOff>
    </xdr:from>
    <xdr:to>
      <xdr:col>9</xdr:col>
      <xdr:colOff>47625</xdr:colOff>
      <xdr:row>10</xdr:row>
      <xdr:rowOff>76200</xdr:rowOff>
    </xdr:to>
    <xdr:sp macro="" textlink="">
      <xdr:nvSpPr>
        <xdr:cNvPr id="12" name="Rectangle: Rounded Corners 11">
          <a:hlinkClick xmlns:r="http://schemas.openxmlformats.org/officeDocument/2006/relationships" r:id="rId11"/>
          <a:extLst>
            <a:ext uri="{FF2B5EF4-FFF2-40B4-BE49-F238E27FC236}">
              <a16:creationId xmlns:a16="http://schemas.microsoft.com/office/drawing/2014/main" id="{A3206606-608F-47C2-A7AB-023A4EA1185B}"/>
            </a:ext>
          </a:extLst>
        </xdr:cNvPr>
        <xdr:cNvSpPr/>
      </xdr:nvSpPr>
      <xdr:spPr>
        <a:xfrm>
          <a:off x="3798093" y="1262062"/>
          <a:ext cx="1735932" cy="814388"/>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700" b="1">
              <a:latin typeface="APTOS"/>
            </a:rPr>
            <a:t>YEARLY FEES</a:t>
          </a:r>
        </a:p>
      </xdr:txBody>
    </xdr:sp>
    <xdr:clientData/>
  </xdr:twoCellAnchor>
  <xdr:twoCellAnchor>
    <xdr:from>
      <xdr:col>3</xdr:col>
      <xdr:colOff>200025</xdr:colOff>
      <xdr:row>10</xdr:row>
      <xdr:rowOff>190500</xdr:rowOff>
    </xdr:from>
    <xdr:to>
      <xdr:col>9</xdr:col>
      <xdr:colOff>38100</xdr:colOff>
      <xdr:row>15</xdr:row>
      <xdr:rowOff>95251</xdr:rowOff>
    </xdr:to>
    <xdr:sp macro="" textlink="">
      <xdr:nvSpPr>
        <xdr:cNvPr id="13" name="Rectangle: Rounded Corners 12">
          <a:hlinkClick xmlns:r="http://schemas.openxmlformats.org/officeDocument/2006/relationships" r:id="rId12"/>
          <a:extLst>
            <a:ext uri="{FF2B5EF4-FFF2-40B4-BE49-F238E27FC236}">
              <a16:creationId xmlns:a16="http://schemas.microsoft.com/office/drawing/2014/main" id="{99DD8831-B8CA-473A-A8BE-D14F8679AA83}"/>
            </a:ext>
          </a:extLst>
        </xdr:cNvPr>
        <xdr:cNvSpPr/>
      </xdr:nvSpPr>
      <xdr:spPr>
        <a:xfrm>
          <a:off x="2028825" y="2190750"/>
          <a:ext cx="3495675" cy="904876"/>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PTOS"/>
            </a:rPr>
            <a:t>GRAPHS VISUALIZATION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326855</xdr:colOff>
      <xdr:row>2</xdr:row>
      <xdr:rowOff>99454</xdr:rowOff>
    </xdr:from>
    <xdr:to>
      <xdr:col>14</xdr:col>
      <xdr:colOff>273843</xdr:colOff>
      <xdr:row>18</xdr:row>
      <xdr:rowOff>89647</xdr:rowOff>
    </xdr:to>
    <xdr:graphicFrame macro="">
      <xdr:nvGraphicFramePr>
        <xdr:cNvPr id="3" name="Chart 2">
          <a:extLst>
            <a:ext uri="{FF2B5EF4-FFF2-40B4-BE49-F238E27FC236}">
              <a16:creationId xmlns:a16="http://schemas.microsoft.com/office/drawing/2014/main" id="{11D94A81-0E1B-4CB0-A677-D4288C766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11205</xdr:colOff>
      <xdr:row>2</xdr:row>
      <xdr:rowOff>86233</xdr:rowOff>
    </xdr:from>
    <xdr:to>
      <xdr:col>3</xdr:col>
      <xdr:colOff>259364</xdr:colOff>
      <xdr:row>12</xdr:row>
      <xdr:rowOff>11206</xdr:rowOff>
    </xdr:to>
    <mc:AlternateContent xmlns:mc="http://schemas.openxmlformats.org/markup-compatibility/2006" xmlns:a14="http://schemas.microsoft.com/office/drawing/2010/main">
      <mc:Choice Requires="a14">
        <xdr:graphicFrame macro="">
          <xdr:nvGraphicFramePr>
            <xdr:cNvPr id="4" name="STANDARD ">
              <a:extLst>
                <a:ext uri="{FF2B5EF4-FFF2-40B4-BE49-F238E27FC236}">
                  <a16:creationId xmlns:a16="http://schemas.microsoft.com/office/drawing/2014/main" id="{27CBFD0F-963E-4F45-A6D4-37E9849FC553}"/>
                </a:ext>
              </a:extLst>
            </xdr:cNvPr>
            <xdr:cNvGraphicFramePr/>
          </xdr:nvGraphicFramePr>
          <xdr:xfrm>
            <a:off x="0" y="0"/>
            <a:ext cx="0" cy="0"/>
          </xdr:xfrm>
          <a:graphic>
            <a:graphicData uri="http://schemas.microsoft.com/office/drawing/2010/slicer">
              <sle:slicer xmlns:sle="http://schemas.microsoft.com/office/drawing/2010/slicer" name="STANDARD "/>
            </a:graphicData>
          </a:graphic>
        </xdr:graphicFrame>
      </mc:Choice>
      <mc:Fallback xmlns="">
        <xdr:sp macro="" textlink="">
          <xdr:nvSpPr>
            <xdr:cNvPr id="0" name=""/>
            <xdr:cNvSpPr>
              <a:spLocks noTextEdit="1"/>
            </xdr:cNvSpPr>
          </xdr:nvSpPr>
          <xdr:spPr>
            <a:xfrm>
              <a:off x="130268" y="562483"/>
              <a:ext cx="2057909" cy="1949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11204</xdr:colOff>
      <xdr:row>19</xdr:row>
      <xdr:rowOff>44824</xdr:rowOff>
    </xdr:from>
    <xdr:to>
      <xdr:col>3</xdr:col>
      <xdr:colOff>257733</xdr:colOff>
      <xdr:row>26</xdr:row>
      <xdr:rowOff>156882</xdr:rowOff>
    </xdr:to>
    <mc:AlternateContent xmlns:mc="http://schemas.openxmlformats.org/markup-compatibility/2006" xmlns:a14="http://schemas.microsoft.com/office/drawing/2010/main">
      <mc:Choice Requires="a14">
        <xdr:graphicFrame macro="">
          <xdr:nvGraphicFramePr>
            <xdr:cNvPr id="5" name="MONTHLY FEES">
              <a:extLst>
                <a:ext uri="{FF2B5EF4-FFF2-40B4-BE49-F238E27FC236}">
                  <a16:creationId xmlns:a16="http://schemas.microsoft.com/office/drawing/2014/main" id="{82CD2097-EF47-4F9C-BB13-EB0DA1798C80}"/>
                </a:ext>
              </a:extLst>
            </xdr:cNvPr>
            <xdr:cNvGraphicFramePr/>
          </xdr:nvGraphicFramePr>
          <xdr:xfrm>
            <a:off x="0" y="0"/>
            <a:ext cx="0" cy="0"/>
          </xdr:xfrm>
          <a:graphic>
            <a:graphicData uri="http://schemas.microsoft.com/office/drawing/2010/slicer">
              <sle:slicer xmlns:sle="http://schemas.microsoft.com/office/drawing/2010/slicer" name="MONTHLY FEES"/>
            </a:graphicData>
          </a:graphic>
        </xdr:graphicFrame>
      </mc:Choice>
      <mc:Fallback xmlns="">
        <xdr:sp macro="" textlink="">
          <xdr:nvSpPr>
            <xdr:cNvPr id="0" name=""/>
            <xdr:cNvSpPr>
              <a:spLocks noTextEdit="1"/>
            </xdr:cNvSpPr>
          </xdr:nvSpPr>
          <xdr:spPr>
            <a:xfrm>
              <a:off x="130267" y="3961980"/>
              <a:ext cx="2056279" cy="1528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112059</xdr:colOff>
      <xdr:row>26</xdr:row>
      <xdr:rowOff>190502</xdr:rowOff>
    </xdr:from>
    <xdr:to>
      <xdr:col>3</xdr:col>
      <xdr:colOff>257735</xdr:colOff>
      <xdr:row>32</xdr:row>
      <xdr:rowOff>168088</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6A27680D-A383-40C7-8675-2E9B40AF0E2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2059" y="5513297"/>
              <a:ext cx="2084294" cy="1131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347379</xdr:colOff>
      <xdr:row>19</xdr:row>
      <xdr:rowOff>44825</xdr:rowOff>
    </xdr:from>
    <xdr:to>
      <xdr:col>14</xdr:col>
      <xdr:colOff>321467</xdr:colOff>
      <xdr:row>32</xdr:row>
      <xdr:rowOff>165849</xdr:rowOff>
    </xdr:to>
    <xdr:graphicFrame macro="">
      <xdr:nvGraphicFramePr>
        <xdr:cNvPr id="8" name="Chart 7">
          <a:extLst>
            <a:ext uri="{FF2B5EF4-FFF2-40B4-BE49-F238E27FC236}">
              <a16:creationId xmlns:a16="http://schemas.microsoft.com/office/drawing/2014/main" id="{FF8FDD74-E499-4B92-A516-E5D2A84FB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xdr:colOff>
      <xdr:row>12</xdr:row>
      <xdr:rowOff>67234</xdr:rowOff>
    </xdr:from>
    <xdr:to>
      <xdr:col>3</xdr:col>
      <xdr:colOff>257735</xdr:colOff>
      <xdr:row>18</xdr:row>
      <xdr:rowOff>89647</xdr:rowOff>
    </xdr:to>
    <mc:AlternateContent xmlns:mc="http://schemas.openxmlformats.org/markup-compatibility/2006" xmlns:a14="http://schemas.microsoft.com/office/drawing/2010/main">
      <mc:Choice Requires="a14">
        <xdr:graphicFrame macro="">
          <xdr:nvGraphicFramePr>
            <xdr:cNvPr id="11" name="JULY">
              <a:extLst>
                <a:ext uri="{FF2B5EF4-FFF2-40B4-BE49-F238E27FC236}">
                  <a16:creationId xmlns:a16="http://schemas.microsoft.com/office/drawing/2014/main" id="{DA766168-8D53-4143-925E-ADE967818C0A}"/>
                </a:ext>
              </a:extLst>
            </xdr:cNvPr>
            <xdr:cNvGraphicFramePr/>
          </xdr:nvGraphicFramePr>
          <xdr:xfrm>
            <a:off x="0" y="0"/>
            <a:ext cx="0" cy="0"/>
          </xdr:xfrm>
          <a:graphic>
            <a:graphicData uri="http://schemas.microsoft.com/office/drawing/2010/slicer">
              <sle:slicer xmlns:sle="http://schemas.microsoft.com/office/drawing/2010/slicer" name="JULY"/>
            </a:graphicData>
          </a:graphic>
        </xdr:graphicFrame>
      </mc:Choice>
      <mc:Fallback xmlns="">
        <xdr:sp macro="" textlink="">
          <xdr:nvSpPr>
            <xdr:cNvPr id="0" name=""/>
            <xdr:cNvSpPr>
              <a:spLocks noTextEdit="1"/>
            </xdr:cNvSpPr>
          </xdr:nvSpPr>
          <xdr:spPr>
            <a:xfrm>
              <a:off x="119065" y="2567547"/>
              <a:ext cx="2067483" cy="123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371193</xdr:colOff>
      <xdr:row>2</xdr:row>
      <xdr:rowOff>137271</xdr:rowOff>
    </xdr:from>
    <xdr:to>
      <xdr:col>25</xdr:col>
      <xdr:colOff>416018</xdr:colOff>
      <xdr:row>33</xdr:row>
      <xdr:rowOff>2102</xdr:rowOff>
    </xdr:to>
    <xdr:graphicFrame macro="">
      <xdr:nvGraphicFramePr>
        <xdr:cNvPr id="12" name="Chart 11">
          <a:extLst>
            <a:ext uri="{FF2B5EF4-FFF2-40B4-BE49-F238E27FC236}">
              <a16:creationId xmlns:a16="http://schemas.microsoft.com/office/drawing/2014/main" id="{9DC4C3B4-8C7E-4053-8454-8637F006B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56030</xdr:colOff>
      <xdr:row>3</xdr:row>
      <xdr:rowOff>150438</xdr:rowOff>
    </xdr:from>
    <xdr:to>
      <xdr:col>14</xdr:col>
      <xdr:colOff>175932</xdr:colOff>
      <xdr:row>17</xdr:row>
      <xdr:rowOff>166407</xdr:rowOff>
    </xdr:to>
    <xdr:graphicFrame macro="">
      <xdr:nvGraphicFramePr>
        <xdr:cNvPr id="2" name="Chart 1">
          <a:extLst>
            <a:ext uri="{FF2B5EF4-FFF2-40B4-BE49-F238E27FC236}">
              <a16:creationId xmlns:a16="http://schemas.microsoft.com/office/drawing/2014/main" id="{AB271DED-2959-472C-A50F-3D8965892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400611</xdr:colOff>
      <xdr:row>3</xdr:row>
      <xdr:rowOff>134470</xdr:rowOff>
    </xdr:from>
    <xdr:to>
      <xdr:col>20</xdr:col>
      <xdr:colOff>67236</xdr:colOff>
      <xdr:row>17</xdr:row>
      <xdr:rowOff>168089</xdr:rowOff>
    </xdr:to>
    <xdr:graphicFrame macro="">
      <xdr:nvGraphicFramePr>
        <xdr:cNvPr id="4" name="Chart 3">
          <a:extLst>
            <a:ext uri="{FF2B5EF4-FFF2-40B4-BE49-F238E27FC236}">
              <a16:creationId xmlns:a16="http://schemas.microsoft.com/office/drawing/2014/main" id="{C73399C6-68CD-4F6D-BE5D-2BBE8CD0D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347382</xdr:colOff>
      <xdr:row>18</xdr:row>
      <xdr:rowOff>180693</xdr:rowOff>
    </xdr:from>
    <xdr:to>
      <xdr:col>20</xdr:col>
      <xdr:colOff>100854</xdr:colOff>
      <xdr:row>33</xdr:row>
      <xdr:rowOff>145675</xdr:rowOff>
    </xdr:to>
    <xdr:graphicFrame macro="">
      <xdr:nvGraphicFramePr>
        <xdr:cNvPr id="5" name="Chart 4">
          <a:extLst>
            <a:ext uri="{FF2B5EF4-FFF2-40B4-BE49-F238E27FC236}">
              <a16:creationId xmlns:a16="http://schemas.microsoft.com/office/drawing/2014/main" id="{199B7D1D-918F-4ABB-8BEB-4E7631807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67236</xdr:colOff>
      <xdr:row>18</xdr:row>
      <xdr:rowOff>172849</xdr:rowOff>
    </xdr:from>
    <xdr:to>
      <xdr:col>14</xdr:col>
      <xdr:colOff>168090</xdr:colOff>
      <xdr:row>33</xdr:row>
      <xdr:rowOff>132789</xdr:rowOff>
    </xdr:to>
    <xdr:graphicFrame macro="">
      <xdr:nvGraphicFramePr>
        <xdr:cNvPr id="6" name="Chart 5">
          <a:extLst>
            <a:ext uri="{FF2B5EF4-FFF2-40B4-BE49-F238E27FC236}">
              <a16:creationId xmlns:a16="http://schemas.microsoft.com/office/drawing/2014/main" id="{58B31CA6-7F12-4DAC-B615-5B56430F7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62751</xdr:colOff>
      <xdr:row>49</xdr:row>
      <xdr:rowOff>165286</xdr:rowOff>
    </xdr:from>
    <xdr:to>
      <xdr:col>14</xdr:col>
      <xdr:colOff>156882</xdr:colOff>
      <xdr:row>67</xdr:row>
      <xdr:rowOff>31936</xdr:rowOff>
    </xdr:to>
    <xdr:graphicFrame macro="">
      <xdr:nvGraphicFramePr>
        <xdr:cNvPr id="8" name="Chart 7">
          <a:extLst>
            <a:ext uri="{FF2B5EF4-FFF2-40B4-BE49-F238E27FC236}">
              <a16:creationId xmlns:a16="http://schemas.microsoft.com/office/drawing/2014/main" id="{E38BDA9A-0E01-432B-9CFF-7A9E1D2F1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68355</xdr:colOff>
      <xdr:row>34</xdr:row>
      <xdr:rowOff>150438</xdr:rowOff>
    </xdr:from>
    <xdr:to>
      <xdr:col>14</xdr:col>
      <xdr:colOff>156883</xdr:colOff>
      <xdr:row>49</xdr:row>
      <xdr:rowOff>39221</xdr:rowOff>
    </xdr:to>
    <xdr:graphicFrame macro="">
      <xdr:nvGraphicFramePr>
        <xdr:cNvPr id="3" name="Chart 2">
          <a:extLst>
            <a:ext uri="{FF2B5EF4-FFF2-40B4-BE49-F238E27FC236}">
              <a16:creationId xmlns:a16="http://schemas.microsoft.com/office/drawing/2014/main" id="{DE80A672-D907-4624-B688-AE40D5951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tech" refreshedDate="46247.564317824072" createdVersion="7" refreshedVersion="7" minRefreshableVersion="3" recordCount="110" xr:uid="{B5490A59-F3CA-494D-AA5D-4419ECA0EB9A}">
  <cacheSource type="worksheet">
    <worksheetSource name="Table1"/>
  </cacheSource>
  <cacheFields count="9">
    <cacheField name="SR. NO. " numFmtId="0">
      <sharedItems containsSemiMixedTypes="0" containsString="0" containsNumber="1" containsInteger="1" minValue="1" maxValue="110"/>
    </cacheField>
    <cacheField name="STUDENT NAME" numFmtId="0">
      <sharedItems containsBlank="1"/>
    </cacheField>
    <cacheField name="STANDARD " numFmtId="0">
      <sharedItems containsBlank="1" count="12">
        <s v="0th"/>
        <s v="4th"/>
        <s v="1st"/>
        <s v="8th"/>
        <s v="9th"/>
        <s v="6th"/>
        <s v="10th"/>
        <s v="5th"/>
        <s v="3rd"/>
        <s v="2nd"/>
        <s v="Jr.kg/Sr.kg"/>
        <m/>
      </sharedItems>
    </cacheField>
    <cacheField name="CONTACT " numFmtId="0">
      <sharedItems containsBlank="1"/>
    </cacheField>
    <cacheField name="MONTHLY FEES" numFmtId="165">
      <sharedItems containsString="0" containsBlank="1" containsNumber="1" containsInteger="1" minValue="0" maxValue="1300" count="15">
        <n v="200"/>
        <n v="400"/>
        <n v="0"/>
        <n v="800"/>
        <n v="900"/>
        <n v="600"/>
        <n v="250"/>
        <n v="1300"/>
        <n v="500"/>
        <n v="300"/>
        <n v="1200"/>
        <n v="350"/>
        <n v="150"/>
        <n v="550"/>
        <m/>
      </sharedItems>
    </cacheField>
    <cacheField name="STATUS" numFmtId="0">
      <sharedItems containsBlank="1" count="4">
        <s v="ACTIVE "/>
        <s v="LEFT "/>
        <m/>
        <s v="ANC" u="1"/>
      </sharedItems>
    </cacheField>
    <cacheField name="ADMISSION DATE" numFmtId="167">
      <sharedItems containsNonDate="0" containsDate="1" containsString="0" containsBlank="1" minDate="2026-04-01T00:00:00" maxDate="2026-08-07T00:00:00"/>
    </cacheField>
    <cacheField name="LEAVE DATE" numFmtId="168">
      <sharedItems containsDate="1" containsBlank="1" containsMixedTypes="1" minDate="2026-06-05T00:00:00" maxDate="2026-08-11T00:00:00"/>
    </cacheField>
    <cacheField name="MOR/EVE" numFmtId="0">
      <sharedItems containsBlank="1"/>
    </cacheField>
  </cacheFields>
  <extLst>
    <ext xmlns:x14="http://schemas.microsoft.com/office/spreadsheetml/2009/9/main" uri="{725AE2AE-9491-48be-B2B4-4EB974FC3084}">
      <x14:pivotCacheDefinition pivotCacheId="3531850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LNext Device" refreshedDate="46249.575253819443" createdVersion="7" refreshedVersion="8" minRefreshableVersion="3" recordCount="110" xr:uid="{67D7BDD0-2BD1-463A-B4EA-43043C6C7156}">
  <cacheSource type="worksheet">
    <worksheetSource name="Table6"/>
  </cacheSource>
  <cacheFields count="20">
    <cacheField name="SR.NO." numFmtId="0">
      <sharedItems containsSemiMixedTypes="0" containsString="0" containsNumber="1" containsInteger="1" minValue="1" maxValue="110"/>
    </cacheField>
    <cacheField name="NAME" numFmtId="0">
      <sharedItems containsMixedTypes="1" containsNumber="1" containsInteger="1" minValue="0" maxValue="0"/>
    </cacheField>
    <cacheField name="STD" numFmtId="0">
      <sharedItems containsMixedTypes="1" containsNumber="1" containsInteger="1" minValue="0" maxValue="0" count="12">
        <s v="0th"/>
        <s v="4th"/>
        <s v="1st"/>
        <s v="8th"/>
        <s v="9th"/>
        <s v="6th"/>
        <s v="10th"/>
        <s v="5th"/>
        <s v="3rd"/>
        <s v="2nd"/>
        <s v="Jr.kg/Sr.kg"/>
        <n v="0"/>
      </sharedItems>
    </cacheField>
    <cacheField name="FEES AMOUNT" numFmtId="165">
      <sharedItems containsSemiMixedTypes="0" containsString="0" containsNumber="1" containsInteger="1" minValue="0" maxValue="1300" count="14">
        <n v="200"/>
        <n v="400"/>
        <n v="0"/>
        <n v="800"/>
        <n v="900"/>
        <n v="600"/>
        <n v="250"/>
        <n v="1300"/>
        <n v="500"/>
        <n v="300"/>
        <n v="1200"/>
        <n v="350"/>
        <n v="150"/>
        <n v="550"/>
      </sharedItems>
    </cacheField>
    <cacheField name="JUNE" numFmtId="0">
      <sharedItems containsBlank="1" count="5">
        <s v="PAID"/>
        <s v="UNPAID"/>
        <s v="LEFT"/>
        <s v="NOT CAME"/>
        <m/>
      </sharedItems>
    </cacheField>
    <cacheField name="JULY" numFmtId="0">
      <sharedItems containsBlank="1" count="5">
        <s v="PAID"/>
        <s v="UNPAID"/>
        <s v="LEFT"/>
        <s v="NOT CAME"/>
        <m/>
      </sharedItems>
    </cacheField>
    <cacheField name="AUGUST" numFmtId="0">
      <sharedItems containsBlank="1"/>
    </cacheField>
    <cacheField name="SEPTEMBER" numFmtId="0">
      <sharedItems containsBlank="1"/>
    </cacheField>
    <cacheField name="OCTOBER" numFmtId="0">
      <sharedItems containsBlank="1"/>
    </cacheField>
    <cacheField name="NOVEMBER" numFmtId="0">
      <sharedItems containsBlank="1"/>
    </cacheField>
    <cacheField name="DECEMBER" numFmtId="0">
      <sharedItems containsBlank="1"/>
    </cacheField>
    <cacheField name="JANUARY" numFmtId="0">
      <sharedItems containsBlank="1"/>
    </cacheField>
    <cacheField name="FEBRUARY" numFmtId="0">
      <sharedItems containsBlank="1"/>
    </cacheField>
    <cacheField name="MARCH" numFmtId="0">
      <sharedItems containsBlank="1"/>
    </cacheField>
    <cacheField name="APRIL" numFmtId="0">
      <sharedItems containsBlank="1"/>
    </cacheField>
    <cacheField name="MAY" numFmtId="0">
      <sharedItems containsNonDate="0" containsString="0" containsBlank="1"/>
    </cacheField>
    <cacheField name="TMFP" numFmtId="0">
      <sharedItems containsSemiMixedTypes="0" containsString="0" containsNumber="1" containsInteger="1" minValue="0" maxValue="11"/>
    </cacheField>
    <cacheField name="TPFA" numFmtId="165">
      <sharedItems containsSemiMixedTypes="0" containsString="0" containsNumber="1" containsInteger="1" minValue="0" maxValue="1800"/>
    </cacheField>
    <cacheField name="TMUPF" numFmtId="0">
      <sharedItems containsSemiMixedTypes="0" containsString="0" containsNumber="1" containsInteger="1" minValue="0" maxValue="11"/>
    </cacheField>
    <cacheField name="TUPFA" numFmtId="165">
      <sharedItems containsSemiMixedTypes="0" containsString="0" containsNumber="1" containsInteger="1" minValue="0" maxValue="13200"/>
    </cacheField>
  </cacheFields>
  <extLst>
    <ext xmlns:x14="http://schemas.microsoft.com/office/spreadsheetml/2009/9/main" uri="{725AE2AE-9491-48be-B2B4-4EB974FC3084}">
      <x14:pivotCacheDefinition pivotCacheId="891674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n v="1"/>
    <s v="ROHMA"/>
    <x v="0"/>
    <s v="-"/>
    <x v="0"/>
    <x v="0"/>
    <d v="2026-06-01T00:00:00"/>
    <s v="-"/>
    <s v="MORNING"/>
  </r>
  <r>
    <n v="2"/>
    <s v="PRATIBHA"/>
    <x v="1"/>
    <s v="80091 21935"/>
    <x v="1"/>
    <x v="0"/>
    <d v="2026-06-01T00:00:00"/>
    <s v="-"/>
    <s v="MORNING"/>
  </r>
  <r>
    <n v="3"/>
    <s v="NEW PARI"/>
    <x v="2"/>
    <s v="80091 21935"/>
    <x v="1"/>
    <x v="0"/>
    <d v="2026-06-01T00:00:00"/>
    <s v="-"/>
    <s v="MORNING"/>
  </r>
  <r>
    <n v="4"/>
    <s v="VEENU"/>
    <x v="0"/>
    <s v="80091 21935"/>
    <x v="2"/>
    <x v="0"/>
    <d v="2026-06-01T00:00:00"/>
    <s v="-"/>
    <s v="MORNING"/>
  </r>
  <r>
    <n v="5"/>
    <s v="IQRA"/>
    <x v="3"/>
    <s v="93217 96793"/>
    <x v="3"/>
    <x v="0"/>
    <d v="2026-06-01T00:00:00"/>
    <s v="-"/>
    <s v="EVENING"/>
  </r>
  <r>
    <n v="6"/>
    <s v="ZEEDAN "/>
    <x v="4"/>
    <s v="93217 96793"/>
    <x v="4"/>
    <x v="0"/>
    <d v="2026-06-01T00:00:00"/>
    <s v="-"/>
    <s v="EVENING"/>
  </r>
  <r>
    <n v="7"/>
    <s v="BILAL"/>
    <x v="5"/>
    <s v="93217 96793"/>
    <x v="5"/>
    <x v="0"/>
    <d v="2026-06-01T00:00:00"/>
    <s v="-"/>
    <s v="EVENING"/>
  </r>
  <r>
    <n v="8"/>
    <s v="MARIYAM"/>
    <x v="2"/>
    <s v="93217 96793"/>
    <x v="6"/>
    <x v="0"/>
    <d v="2026-06-01T00:00:00"/>
    <s v="-"/>
    <s v="MORNING"/>
  </r>
  <r>
    <n v="9"/>
    <s v="ZAYAN"/>
    <x v="0"/>
    <s v="93217 96793"/>
    <x v="2"/>
    <x v="0"/>
    <d v="2026-06-01T00:00:00"/>
    <s v="-"/>
    <s v="MORNING"/>
  </r>
  <r>
    <n v="10"/>
    <s v="SHIVA"/>
    <x v="6"/>
    <s v="75061 19795"/>
    <x v="7"/>
    <x v="1"/>
    <d v="2026-06-01T00:00:00"/>
    <d v="2026-06-20T00:00:00"/>
    <s v="EVENING"/>
  </r>
  <r>
    <n v="11"/>
    <s v="ANKITA "/>
    <x v="3"/>
    <s v="75061 19795"/>
    <x v="3"/>
    <x v="0"/>
    <d v="2026-06-29T00:00:00"/>
    <s v="-"/>
    <s v="EVENING"/>
  </r>
  <r>
    <n v="12"/>
    <s v="AARADHYA "/>
    <x v="7"/>
    <s v="75061 19795"/>
    <x v="8"/>
    <x v="0"/>
    <d v="2026-06-29T00:00:00"/>
    <s v="-"/>
    <s v="EVENING"/>
  </r>
  <r>
    <n v="13"/>
    <s v="DAKSH"/>
    <x v="2"/>
    <s v="81047 67025"/>
    <x v="0"/>
    <x v="0"/>
    <d v="2026-06-01T00:00:00"/>
    <s v="-"/>
    <s v="MORNING"/>
  </r>
  <r>
    <n v="14"/>
    <s v="GOLU"/>
    <x v="1"/>
    <s v="70816 04596"/>
    <x v="1"/>
    <x v="0"/>
    <d v="2026-06-01T00:00:00"/>
    <s v="-"/>
    <s v="MORNING"/>
  </r>
  <r>
    <n v="15"/>
    <s v="KARAN"/>
    <x v="8"/>
    <s v="70816 04596"/>
    <x v="9"/>
    <x v="0"/>
    <d v="2026-06-01T00:00:00"/>
    <s v="-"/>
    <s v="MORNING"/>
  </r>
  <r>
    <n v="16"/>
    <s v="MERAJ"/>
    <x v="6"/>
    <s v="82911 58842"/>
    <x v="10"/>
    <x v="0"/>
    <d v="2026-04-01T00:00:00"/>
    <s v="-"/>
    <s v="EVENING"/>
  </r>
  <r>
    <n v="17"/>
    <s v="HASSAN"/>
    <x v="8"/>
    <s v="86571 98463"/>
    <x v="9"/>
    <x v="0"/>
    <d v="2026-06-19T00:00:00"/>
    <s v="-"/>
    <s v="MORNING"/>
  </r>
  <r>
    <n v="18"/>
    <s v="SHOAIB "/>
    <x v="1"/>
    <s v="90823 26169"/>
    <x v="11"/>
    <x v="0"/>
    <d v="2026-06-19T00:00:00"/>
    <s v="-"/>
    <s v="MORNING"/>
  </r>
  <r>
    <n v="19"/>
    <s v="VIRAJ "/>
    <x v="2"/>
    <s v="81045 81195"/>
    <x v="6"/>
    <x v="0"/>
    <d v="2026-06-02T00:00:00"/>
    <s v="-"/>
    <s v="MORNING"/>
  </r>
  <r>
    <n v="20"/>
    <s v="JUNAID"/>
    <x v="1"/>
    <s v="82913 57884"/>
    <x v="9"/>
    <x v="0"/>
    <d v="2026-06-02T00:00:00"/>
    <s v="-"/>
    <s v="MORNING"/>
  </r>
  <r>
    <n v="21"/>
    <s v="ARIBA "/>
    <x v="7"/>
    <s v="82913 57884"/>
    <x v="8"/>
    <x v="1"/>
    <d v="2026-06-02T00:00:00"/>
    <d v="2026-06-05T00:00:00"/>
    <s v="EVENING"/>
  </r>
  <r>
    <n v="22"/>
    <s v="OWAISH"/>
    <x v="9"/>
    <s v="82919 41990"/>
    <x v="6"/>
    <x v="1"/>
    <d v="2026-06-02T00:00:00"/>
    <d v="2026-08-10T00:00:00"/>
    <s v="MORNING"/>
  </r>
  <r>
    <n v="23"/>
    <s v="ARMAN "/>
    <x v="9"/>
    <s v="96282 94883"/>
    <x v="6"/>
    <x v="0"/>
    <d v="2026-06-03T00:00:00"/>
    <s v="-"/>
    <s v="MORNING"/>
  </r>
  <r>
    <n v="24"/>
    <s v="RIYA"/>
    <x v="10"/>
    <s v="-"/>
    <x v="0"/>
    <x v="0"/>
    <d v="2026-06-03T00:00:00"/>
    <s v="-"/>
    <s v="EVENING"/>
  </r>
  <r>
    <n v="25"/>
    <s v="NAYRA"/>
    <x v="7"/>
    <s v="75066 44414"/>
    <x v="8"/>
    <x v="0"/>
    <d v="2026-06-09T00:00:00"/>
    <s v="-"/>
    <s v="EVENING"/>
  </r>
  <r>
    <n v="26"/>
    <s v="OLD PARI"/>
    <x v="10"/>
    <s v="75066 44414"/>
    <x v="2"/>
    <x v="0"/>
    <d v="2026-06-09T00:00:00"/>
    <s v="-"/>
    <s v="EVENING"/>
  </r>
  <r>
    <n v="27"/>
    <s v="VINAYAK "/>
    <x v="8"/>
    <s v="74598 27904"/>
    <x v="9"/>
    <x v="0"/>
    <d v="2026-06-10T00:00:00"/>
    <s v="-"/>
    <s v="EVENING"/>
  </r>
  <r>
    <n v="28"/>
    <s v="AAIRAH"/>
    <x v="1"/>
    <s v="81040 38921"/>
    <x v="11"/>
    <x v="0"/>
    <d v="2026-06-29T00:00:00"/>
    <s v="-"/>
    <s v="MORNING"/>
  </r>
  <r>
    <n v="29"/>
    <s v="ANAS"/>
    <x v="10"/>
    <s v="81040 38921"/>
    <x v="0"/>
    <x v="0"/>
    <d v="2026-06-29T00:00:00"/>
    <s v="-"/>
    <s v="EVENING"/>
  </r>
  <r>
    <n v="30"/>
    <s v="SHIVIN"/>
    <x v="0"/>
    <s v="93518 31519"/>
    <x v="0"/>
    <x v="1"/>
    <d v="2026-06-01T00:00:00"/>
    <d v="2026-07-20T00:00:00"/>
    <s v="EVENING"/>
  </r>
  <r>
    <n v="31"/>
    <s v="SALIYA"/>
    <x v="8"/>
    <s v="95656 15606"/>
    <x v="9"/>
    <x v="0"/>
    <d v="2026-06-12T00:00:00"/>
    <s v="-"/>
    <s v="EVENING"/>
  </r>
  <r>
    <n v="32"/>
    <s v="ADIL"/>
    <x v="10"/>
    <s v="95656 15606"/>
    <x v="12"/>
    <x v="0"/>
    <d v="2026-06-12T00:00:00"/>
    <s v="-"/>
    <s v="EVENING"/>
  </r>
  <r>
    <n v="33"/>
    <s v="KRISHIV "/>
    <x v="0"/>
    <s v="97695 67090"/>
    <x v="0"/>
    <x v="0"/>
    <d v="2026-06-12T00:00:00"/>
    <s v="-"/>
    <s v="MORNING"/>
  </r>
  <r>
    <n v="34"/>
    <s v="LAKSHY"/>
    <x v="0"/>
    <s v="81047 67025"/>
    <x v="12"/>
    <x v="0"/>
    <d v="2026-06-01T00:00:00"/>
    <s v="-"/>
    <s v="MORNING"/>
  </r>
  <r>
    <n v="35"/>
    <s v="SHAALU"/>
    <x v="4"/>
    <s v="77699 64900"/>
    <x v="4"/>
    <x v="0"/>
    <d v="2026-06-15T00:00:00"/>
    <s v="-"/>
    <s v="EVENING"/>
  </r>
  <r>
    <n v="36"/>
    <s v="MANTASHA"/>
    <x v="8"/>
    <s v="95543 01376"/>
    <x v="6"/>
    <x v="0"/>
    <d v="2026-06-22T00:00:00"/>
    <s v="-"/>
    <s v="EVENING"/>
  </r>
  <r>
    <n v="37"/>
    <s v="SHARAFAT ALI"/>
    <x v="2"/>
    <s v="95543 01376"/>
    <x v="0"/>
    <x v="0"/>
    <d v="2026-06-22T00:00:00"/>
    <s v="-"/>
    <s v="EVENING"/>
  </r>
  <r>
    <n v="38"/>
    <s v="KRITI"/>
    <x v="8"/>
    <s v="88792 24403"/>
    <x v="6"/>
    <x v="0"/>
    <d v="2026-06-23T00:00:00"/>
    <s v="-"/>
    <s v="MORNING"/>
  </r>
  <r>
    <n v="39"/>
    <s v="KARTIK"/>
    <x v="10"/>
    <s v="88792 24403"/>
    <x v="0"/>
    <x v="0"/>
    <d v="2026-06-23T00:00:00"/>
    <s v="-"/>
    <s v="MORNING"/>
  </r>
  <r>
    <n v="40"/>
    <s v="NIKHIL "/>
    <x v="7"/>
    <s v="82911 31670"/>
    <x v="8"/>
    <x v="0"/>
    <d v="2026-06-25T00:00:00"/>
    <s v="-"/>
    <s v="EVENING"/>
  </r>
  <r>
    <n v="41"/>
    <s v="SATYAM "/>
    <x v="1"/>
    <s v="82911 31670"/>
    <x v="1"/>
    <x v="0"/>
    <d v="2026-06-25T00:00:00"/>
    <s v="-"/>
    <s v="EVENING"/>
  </r>
  <r>
    <n v="42"/>
    <s v="RIZWAN "/>
    <x v="9"/>
    <s v="99874 21345"/>
    <x v="9"/>
    <x v="0"/>
    <d v="2026-06-29T00:00:00"/>
    <s v="-"/>
    <s v="MORNING"/>
  </r>
  <r>
    <n v="43"/>
    <s v="UMAIRA"/>
    <x v="0"/>
    <s v="99874 21345"/>
    <x v="0"/>
    <x v="0"/>
    <d v="2026-06-29T00:00:00"/>
    <s v="-"/>
    <s v="MORNING"/>
  </r>
  <r>
    <n v="44"/>
    <s v="ATIFA"/>
    <x v="1"/>
    <s v="95946 04882"/>
    <x v="11"/>
    <x v="0"/>
    <d v="2026-07-01T00:00:00"/>
    <s v="-"/>
    <s v="MORNING"/>
  </r>
  <r>
    <n v="45"/>
    <s v="UMAIR"/>
    <x v="2"/>
    <s v="95946 04882"/>
    <x v="0"/>
    <x v="0"/>
    <d v="2026-07-01T00:00:00"/>
    <s v="-"/>
    <s v="MORNING"/>
  </r>
  <r>
    <n v="46"/>
    <s v="SARTHAK"/>
    <x v="7"/>
    <s v="80900 67943"/>
    <x v="8"/>
    <x v="0"/>
    <d v="2026-06-29T00:00:00"/>
    <s v="-"/>
    <s v="EVENING"/>
  </r>
  <r>
    <n v="47"/>
    <s v="DISHANT "/>
    <x v="8"/>
    <s v="93215 21168"/>
    <x v="9"/>
    <x v="0"/>
    <d v="2026-06-29T00:00:00"/>
    <s v="-"/>
    <s v="EVENING"/>
  </r>
  <r>
    <n v="48"/>
    <s v="SHALINI"/>
    <x v="7"/>
    <s v="93215 21168"/>
    <x v="8"/>
    <x v="0"/>
    <d v="2026-06-29T00:00:00"/>
    <s v="-"/>
    <s v="EVENING"/>
  </r>
  <r>
    <n v="49"/>
    <s v="JIYA"/>
    <x v="3"/>
    <s v="80900 67943"/>
    <x v="3"/>
    <x v="1"/>
    <d v="2026-06-30T00:00:00"/>
    <d v="2026-07-27T00:00:00"/>
    <s v="EVENING"/>
  </r>
  <r>
    <n v="50"/>
    <s v="ANIKA"/>
    <x v="1"/>
    <s v="81691 19481"/>
    <x v="1"/>
    <x v="0"/>
    <d v="2026-07-02T00:00:00"/>
    <s v="-"/>
    <s v="MORNING"/>
  </r>
  <r>
    <n v="51"/>
    <s v="SAMAR"/>
    <x v="1"/>
    <s v="78600 93495"/>
    <x v="1"/>
    <x v="0"/>
    <d v="2026-07-02T00:00:00"/>
    <s v="-"/>
    <s v="MORNING"/>
  </r>
  <r>
    <n v="52"/>
    <s v="USAID"/>
    <x v="8"/>
    <s v="82913 57884"/>
    <x v="6"/>
    <x v="0"/>
    <d v="2026-07-03T00:00:00"/>
    <s v="-"/>
    <s v="MORNING"/>
  </r>
  <r>
    <n v="53"/>
    <s v="KARISHMA "/>
    <x v="7"/>
    <s v="70816 55075"/>
    <x v="8"/>
    <x v="0"/>
    <d v="2026-07-08T00:00:00"/>
    <s v="-"/>
    <s v="EVENING"/>
  </r>
  <r>
    <n v="54"/>
    <s v="SATYAPRAKASH "/>
    <x v="1"/>
    <s v="70816 55075"/>
    <x v="1"/>
    <x v="0"/>
    <d v="2026-07-09T00:00:00"/>
    <s v="-"/>
    <s v="MORNING"/>
  </r>
  <r>
    <n v="55"/>
    <s v="ANAMIKA"/>
    <x v="8"/>
    <s v="95541 60030"/>
    <x v="9"/>
    <x v="0"/>
    <d v="2026-07-09T00:00:00"/>
    <s v="-"/>
    <s v="MORNING"/>
  </r>
  <r>
    <n v="56"/>
    <s v="HARSHMAN"/>
    <x v="10"/>
    <s v="95541 60030"/>
    <x v="0"/>
    <x v="0"/>
    <d v="2026-07-09T00:00:00"/>
    <s v="-"/>
    <s v="MORNING"/>
  </r>
  <r>
    <n v="57"/>
    <s v="AFIFA"/>
    <x v="5"/>
    <s v="82917 03274"/>
    <x v="13"/>
    <x v="0"/>
    <d v="2026-07-20T00:00:00"/>
    <s v="-"/>
    <s v="EVENING"/>
  </r>
  <r>
    <n v="58"/>
    <s v="SAFU"/>
    <x v="9"/>
    <s v="82917 03274"/>
    <x v="6"/>
    <x v="0"/>
    <d v="2026-08-04T00:00:00"/>
    <s v="-"/>
    <s v="MORNING"/>
  </r>
  <r>
    <n v="59"/>
    <s v="HAMDAN"/>
    <x v="1"/>
    <s v="82917 03274"/>
    <x v="11"/>
    <x v="0"/>
    <d v="2026-08-04T00:00:00"/>
    <s v="-"/>
    <s v="MORNING"/>
  </r>
  <r>
    <n v="60"/>
    <s v="KHUSHI"/>
    <x v="0"/>
    <s v="-"/>
    <x v="0"/>
    <x v="0"/>
    <d v="2026-08-04T00:00:00"/>
    <s v="-"/>
    <s v="MORNING"/>
  </r>
  <r>
    <n v="61"/>
    <s v="SHAKSHI"/>
    <x v="9"/>
    <s v="-"/>
    <x v="6"/>
    <x v="0"/>
    <d v="2026-08-06T00:00:00"/>
    <s v="-"/>
    <s v="MORNING"/>
  </r>
  <r>
    <n v="62"/>
    <s v="RAJVEER"/>
    <x v="2"/>
    <s v="-"/>
    <x v="0"/>
    <x v="0"/>
    <d v="2026-08-06T00:00:00"/>
    <s v="-"/>
    <s v="MORNING"/>
  </r>
  <r>
    <n v="63"/>
    <s v="ANAS"/>
    <x v="0"/>
    <s v="-"/>
    <x v="0"/>
    <x v="0"/>
    <d v="2026-08-03T00:00:00"/>
    <s v="-"/>
    <s v="EVENING"/>
  </r>
  <r>
    <n v="64"/>
    <m/>
    <x v="11"/>
    <m/>
    <x v="14"/>
    <x v="2"/>
    <m/>
    <m/>
    <m/>
  </r>
  <r>
    <n v="65"/>
    <m/>
    <x v="11"/>
    <m/>
    <x v="14"/>
    <x v="2"/>
    <m/>
    <m/>
    <m/>
  </r>
  <r>
    <n v="66"/>
    <m/>
    <x v="11"/>
    <m/>
    <x v="14"/>
    <x v="2"/>
    <m/>
    <m/>
    <m/>
  </r>
  <r>
    <n v="67"/>
    <m/>
    <x v="11"/>
    <m/>
    <x v="14"/>
    <x v="2"/>
    <m/>
    <m/>
    <m/>
  </r>
  <r>
    <n v="68"/>
    <m/>
    <x v="11"/>
    <m/>
    <x v="14"/>
    <x v="2"/>
    <m/>
    <m/>
    <m/>
  </r>
  <r>
    <n v="69"/>
    <m/>
    <x v="11"/>
    <m/>
    <x v="14"/>
    <x v="2"/>
    <m/>
    <m/>
    <m/>
  </r>
  <r>
    <n v="70"/>
    <m/>
    <x v="11"/>
    <m/>
    <x v="14"/>
    <x v="2"/>
    <m/>
    <m/>
    <m/>
  </r>
  <r>
    <n v="71"/>
    <m/>
    <x v="11"/>
    <m/>
    <x v="14"/>
    <x v="2"/>
    <m/>
    <m/>
    <m/>
  </r>
  <r>
    <n v="72"/>
    <m/>
    <x v="11"/>
    <m/>
    <x v="14"/>
    <x v="2"/>
    <m/>
    <m/>
    <m/>
  </r>
  <r>
    <n v="73"/>
    <m/>
    <x v="11"/>
    <m/>
    <x v="14"/>
    <x v="2"/>
    <m/>
    <m/>
    <m/>
  </r>
  <r>
    <n v="74"/>
    <m/>
    <x v="11"/>
    <m/>
    <x v="14"/>
    <x v="2"/>
    <m/>
    <m/>
    <m/>
  </r>
  <r>
    <n v="75"/>
    <m/>
    <x v="11"/>
    <m/>
    <x v="14"/>
    <x v="2"/>
    <m/>
    <m/>
    <m/>
  </r>
  <r>
    <n v="76"/>
    <m/>
    <x v="11"/>
    <m/>
    <x v="14"/>
    <x v="2"/>
    <m/>
    <m/>
    <m/>
  </r>
  <r>
    <n v="77"/>
    <m/>
    <x v="11"/>
    <m/>
    <x v="14"/>
    <x v="2"/>
    <m/>
    <m/>
    <m/>
  </r>
  <r>
    <n v="78"/>
    <m/>
    <x v="11"/>
    <m/>
    <x v="14"/>
    <x v="2"/>
    <m/>
    <m/>
    <m/>
  </r>
  <r>
    <n v="79"/>
    <m/>
    <x v="11"/>
    <m/>
    <x v="14"/>
    <x v="2"/>
    <m/>
    <m/>
    <m/>
  </r>
  <r>
    <n v="80"/>
    <m/>
    <x v="11"/>
    <m/>
    <x v="14"/>
    <x v="2"/>
    <m/>
    <m/>
    <m/>
  </r>
  <r>
    <n v="81"/>
    <m/>
    <x v="11"/>
    <m/>
    <x v="14"/>
    <x v="2"/>
    <m/>
    <m/>
    <m/>
  </r>
  <r>
    <n v="82"/>
    <m/>
    <x v="11"/>
    <m/>
    <x v="14"/>
    <x v="2"/>
    <m/>
    <m/>
    <m/>
  </r>
  <r>
    <n v="83"/>
    <m/>
    <x v="11"/>
    <m/>
    <x v="14"/>
    <x v="2"/>
    <m/>
    <m/>
    <m/>
  </r>
  <r>
    <n v="84"/>
    <m/>
    <x v="11"/>
    <m/>
    <x v="14"/>
    <x v="2"/>
    <m/>
    <m/>
    <m/>
  </r>
  <r>
    <n v="85"/>
    <m/>
    <x v="11"/>
    <m/>
    <x v="14"/>
    <x v="2"/>
    <m/>
    <m/>
    <m/>
  </r>
  <r>
    <n v="86"/>
    <m/>
    <x v="11"/>
    <m/>
    <x v="14"/>
    <x v="2"/>
    <m/>
    <m/>
    <m/>
  </r>
  <r>
    <n v="87"/>
    <m/>
    <x v="11"/>
    <m/>
    <x v="14"/>
    <x v="2"/>
    <m/>
    <m/>
    <m/>
  </r>
  <r>
    <n v="88"/>
    <m/>
    <x v="11"/>
    <m/>
    <x v="14"/>
    <x v="2"/>
    <m/>
    <m/>
    <m/>
  </r>
  <r>
    <n v="89"/>
    <m/>
    <x v="11"/>
    <m/>
    <x v="14"/>
    <x v="2"/>
    <m/>
    <m/>
    <m/>
  </r>
  <r>
    <n v="90"/>
    <m/>
    <x v="11"/>
    <m/>
    <x v="14"/>
    <x v="2"/>
    <m/>
    <m/>
    <m/>
  </r>
  <r>
    <n v="91"/>
    <m/>
    <x v="11"/>
    <m/>
    <x v="14"/>
    <x v="2"/>
    <m/>
    <m/>
    <m/>
  </r>
  <r>
    <n v="92"/>
    <m/>
    <x v="11"/>
    <m/>
    <x v="14"/>
    <x v="2"/>
    <m/>
    <m/>
    <m/>
  </r>
  <r>
    <n v="93"/>
    <m/>
    <x v="11"/>
    <m/>
    <x v="14"/>
    <x v="2"/>
    <m/>
    <m/>
    <m/>
  </r>
  <r>
    <n v="94"/>
    <m/>
    <x v="11"/>
    <m/>
    <x v="14"/>
    <x v="2"/>
    <m/>
    <m/>
    <m/>
  </r>
  <r>
    <n v="95"/>
    <m/>
    <x v="11"/>
    <m/>
    <x v="14"/>
    <x v="2"/>
    <m/>
    <m/>
    <m/>
  </r>
  <r>
    <n v="96"/>
    <m/>
    <x v="11"/>
    <m/>
    <x v="14"/>
    <x v="2"/>
    <m/>
    <m/>
    <m/>
  </r>
  <r>
    <n v="97"/>
    <m/>
    <x v="11"/>
    <m/>
    <x v="14"/>
    <x v="2"/>
    <m/>
    <m/>
    <m/>
  </r>
  <r>
    <n v="98"/>
    <m/>
    <x v="11"/>
    <m/>
    <x v="14"/>
    <x v="2"/>
    <m/>
    <m/>
    <m/>
  </r>
  <r>
    <n v="99"/>
    <m/>
    <x v="11"/>
    <m/>
    <x v="14"/>
    <x v="2"/>
    <m/>
    <m/>
    <m/>
  </r>
  <r>
    <n v="100"/>
    <m/>
    <x v="11"/>
    <m/>
    <x v="14"/>
    <x v="2"/>
    <m/>
    <m/>
    <m/>
  </r>
  <r>
    <n v="101"/>
    <m/>
    <x v="11"/>
    <m/>
    <x v="14"/>
    <x v="2"/>
    <m/>
    <m/>
    <m/>
  </r>
  <r>
    <n v="102"/>
    <m/>
    <x v="11"/>
    <m/>
    <x v="14"/>
    <x v="2"/>
    <m/>
    <m/>
    <m/>
  </r>
  <r>
    <n v="103"/>
    <m/>
    <x v="11"/>
    <m/>
    <x v="14"/>
    <x v="2"/>
    <m/>
    <m/>
    <m/>
  </r>
  <r>
    <n v="104"/>
    <m/>
    <x v="11"/>
    <m/>
    <x v="14"/>
    <x v="2"/>
    <m/>
    <m/>
    <m/>
  </r>
  <r>
    <n v="105"/>
    <m/>
    <x v="11"/>
    <m/>
    <x v="14"/>
    <x v="2"/>
    <m/>
    <m/>
    <m/>
  </r>
  <r>
    <n v="106"/>
    <m/>
    <x v="11"/>
    <m/>
    <x v="14"/>
    <x v="2"/>
    <m/>
    <m/>
    <m/>
  </r>
  <r>
    <n v="107"/>
    <m/>
    <x v="11"/>
    <m/>
    <x v="14"/>
    <x v="2"/>
    <m/>
    <m/>
    <m/>
  </r>
  <r>
    <n v="108"/>
    <m/>
    <x v="11"/>
    <m/>
    <x v="14"/>
    <x v="2"/>
    <m/>
    <m/>
    <m/>
  </r>
  <r>
    <n v="109"/>
    <m/>
    <x v="11"/>
    <m/>
    <x v="14"/>
    <x v="2"/>
    <m/>
    <m/>
    <m/>
  </r>
  <r>
    <n v="110"/>
    <m/>
    <x v="11"/>
    <m/>
    <x v="14"/>
    <x v="2"/>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n v="1"/>
    <s v="ROHMA"/>
    <x v="0"/>
    <x v="0"/>
    <x v="0"/>
    <x v="0"/>
    <m/>
    <m/>
    <m/>
    <m/>
    <m/>
    <m/>
    <m/>
    <m/>
    <m/>
    <m/>
    <n v="2"/>
    <n v="400"/>
    <n v="0"/>
    <n v="0"/>
  </r>
  <r>
    <n v="2"/>
    <s v="PRATIBHA"/>
    <x v="1"/>
    <x v="1"/>
    <x v="1"/>
    <x v="1"/>
    <s v="UNPAID"/>
    <s v="UNPAID"/>
    <s v="UNPAID"/>
    <s v="UNPAID"/>
    <s v="UNPAID"/>
    <s v="UNPAID"/>
    <s v="UNPAID"/>
    <s v="UNPAID"/>
    <s v="UNPAID"/>
    <m/>
    <n v="0"/>
    <n v="0"/>
    <n v="11"/>
    <n v="4400"/>
  </r>
  <r>
    <n v="3"/>
    <s v="NEW PARI"/>
    <x v="2"/>
    <x v="1"/>
    <x v="1"/>
    <x v="1"/>
    <s v="UNPAID"/>
    <s v="UNPAID"/>
    <s v="UNPAID"/>
    <s v="UNPAID"/>
    <s v="UNPAID"/>
    <s v="UNPAID"/>
    <s v="UNPAID"/>
    <s v="UNPAID"/>
    <s v="UNPAID"/>
    <m/>
    <n v="0"/>
    <n v="0"/>
    <n v="11"/>
    <n v="4400"/>
  </r>
  <r>
    <n v="4"/>
    <s v="VEENU"/>
    <x v="0"/>
    <x v="2"/>
    <x v="0"/>
    <x v="0"/>
    <s v="PAID"/>
    <s v="PAID"/>
    <s v="PAID"/>
    <s v="PAID"/>
    <s v="PAID"/>
    <s v="PAID"/>
    <s v="PAID"/>
    <s v="PAID"/>
    <s v="PAID"/>
    <m/>
    <n v="11"/>
    <n v="0"/>
    <n v="0"/>
    <n v="0"/>
  </r>
  <r>
    <n v="5"/>
    <s v="IQRA"/>
    <x v="3"/>
    <x v="3"/>
    <x v="1"/>
    <x v="1"/>
    <s v="UNPAID"/>
    <s v="UNPAID"/>
    <s v="UNPAID"/>
    <s v="UNPAID"/>
    <s v="UNPAID"/>
    <s v="UNPAID"/>
    <s v="UNPAID"/>
    <s v="UNPAID"/>
    <s v="UNPAID"/>
    <m/>
    <n v="0"/>
    <n v="0"/>
    <n v="11"/>
    <n v="8800"/>
  </r>
  <r>
    <n v="6"/>
    <s v="ZEEDAN "/>
    <x v="4"/>
    <x v="4"/>
    <x v="1"/>
    <x v="1"/>
    <s v="UNPAID"/>
    <s v="UNPAID"/>
    <s v="UNPAID"/>
    <s v="UNPAID"/>
    <s v="UNPAID"/>
    <s v="UNPAID"/>
    <s v="UNPAID"/>
    <s v="UNPAID"/>
    <s v="UNPAID"/>
    <m/>
    <n v="0"/>
    <n v="0"/>
    <n v="11"/>
    <n v="9900"/>
  </r>
  <r>
    <n v="7"/>
    <s v="BILAL"/>
    <x v="5"/>
    <x v="5"/>
    <x v="1"/>
    <x v="1"/>
    <s v="UNPAID"/>
    <s v="UNPAID"/>
    <s v="UNPAID"/>
    <s v="UNPAID"/>
    <s v="UNPAID"/>
    <s v="UNPAID"/>
    <s v="UNPAID"/>
    <s v="UNPAID"/>
    <s v="UNPAID"/>
    <m/>
    <n v="0"/>
    <n v="0"/>
    <n v="11"/>
    <n v="6600"/>
  </r>
  <r>
    <n v="8"/>
    <s v="MARIYAM"/>
    <x v="2"/>
    <x v="6"/>
    <x v="1"/>
    <x v="1"/>
    <s v="UNPAID"/>
    <s v="UNPAID"/>
    <s v="UNPAID"/>
    <s v="UNPAID"/>
    <s v="UNPAID"/>
    <s v="UNPAID"/>
    <s v="UNPAID"/>
    <s v="UNPAID"/>
    <s v="UNPAID"/>
    <m/>
    <n v="0"/>
    <n v="0"/>
    <n v="11"/>
    <n v="2750"/>
  </r>
  <r>
    <n v="9"/>
    <s v="ZAYAN"/>
    <x v="0"/>
    <x v="2"/>
    <x v="0"/>
    <x v="0"/>
    <s v="PAID"/>
    <s v="PAID"/>
    <s v="PAID"/>
    <s v="PAID"/>
    <s v="PAID"/>
    <s v="PAID"/>
    <s v="PAID"/>
    <s v="PAID"/>
    <s v="PAID"/>
    <m/>
    <n v="11"/>
    <n v="0"/>
    <n v="0"/>
    <n v="0"/>
  </r>
  <r>
    <n v="10"/>
    <s v="SHIVA"/>
    <x v="6"/>
    <x v="7"/>
    <x v="2"/>
    <x v="2"/>
    <s v="LEFT"/>
    <s v="LEFT"/>
    <s v="LEFT"/>
    <s v="LEFT"/>
    <s v="LEFT"/>
    <s v="LEFT"/>
    <s v="LEFT"/>
    <s v="LEFT"/>
    <s v="LEFT"/>
    <m/>
    <n v="0"/>
    <n v="0"/>
    <n v="0"/>
    <n v="0"/>
  </r>
  <r>
    <n v="11"/>
    <s v="ANKITA "/>
    <x v="3"/>
    <x v="3"/>
    <x v="3"/>
    <x v="0"/>
    <m/>
    <m/>
    <m/>
    <m/>
    <m/>
    <m/>
    <m/>
    <m/>
    <m/>
    <m/>
    <n v="1"/>
    <n v="800"/>
    <n v="0"/>
    <n v="0"/>
  </r>
  <r>
    <n v="12"/>
    <s v="AARADHYA "/>
    <x v="7"/>
    <x v="8"/>
    <x v="3"/>
    <x v="0"/>
    <m/>
    <m/>
    <m/>
    <m/>
    <m/>
    <m/>
    <m/>
    <m/>
    <m/>
    <m/>
    <n v="1"/>
    <n v="500"/>
    <n v="0"/>
    <n v="0"/>
  </r>
  <r>
    <n v="13"/>
    <s v="DAKSH"/>
    <x v="2"/>
    <x v="0"/>
    <x v="1"/>
    <x v="1"/>
    <s v="UNPAID"/>
    <s v="UNPAID"/>
    <s v="UNPAID"/>
    <s v="UNPAID"/>
    <s v="UNPAID"/>
    <s v="UNPAID"/>
    <s v="UNPAID"/>
    <s v="UNPAID"/>
    <s v="UNPAID"/>
    <m/>
    <n v="0"/>
    <n v="0"/>
    <n v="11"/>
    <n v="2200"/>
  </r>
  <r>
    <n v="14"/>
    <s v="GOLU"/>
    <x v="1"/>
    <x v="1"/>
    <x v="0"/>
    <x v="0"/>
    <m/>
    <m/>
    <m/>
    <m/>
    <m/>
    <m/>
    <m/>
    <m/>
    <m/>
    <m/>
    <n v="2"/>
    <n v="800"/>
    <n v="0"/>
    <n v="0"/>
  </r>
  <r>
    <n v="15"/>
    <s v="KARAN"/>
    <x v="8"/>
    <x v="9"/>
    <x v="0"/>
    <x v="0"/>
    <m/>
    <m/>
    <m/>
    <m/>
    <m/>
    <m/>
    <m/>
    <m/>
    <m/>
    <m/>
    <n v="2"/>
    <n v="600"/>
    <n v="0"/>
    <n v="0"/>
  </r>
  <r>
    <n v="16"/>
    <s v="MERAJ"/>
    <x v="6"/>
    <x v="10"/>
    <x v="1"/>
    <x v="1"/>
    <s v="UNPAID"/>
    <s v="UNPAID"/>
    <s v="UNPAID"/>
    <s v="UNPAID"/>
    <s v="UNPAID"/>
    <s v="UNPAID"/>
    <s v="UNPAID"/>
    <s v="UNPAID"/>
    <s v="UNPAID"/>
    <m/>
    <n v="0"/>
    <n v="0"/>
    <n v="11"/>
    <n v="13200"/>
  </r>
  <r>
    <n v="17"/>
    <s v="HASSAN"/>
    <x v="8"/>
    <x v="9"/>
    <x v="3"/>
    <x v="0"/>
    <m/>
    <m/>
    <m/>
    <m/>
    <m/>
    <m/>
    <m/>
    <m/>
    <m/>
    <m/>
    <n v="1"/>
    <n v="300"/>
    <n v="0"/>
    <n v="0"/>
  </r>
  <r>
    <n v="18"/>
    <s v="SHOAIB "/>
    <x v="1"/>
    <x v="11"/>
    <x v="3"/>
    <x v="0"/>
    <m/>
    <m/>
    <m/>
    <m/>
    <m/>
    <m/>
    <m/>
    <m/>
    <m/>
    <m/>
    <n v="1"/>
    <n v="350"/>
    <n v="0"/>
    <n v="0"/>
  </r>
  <r>
    <n v="19"/>
    <s v="VIRAJ "/>
    <x v="2"/>
    <x v="6"/>
    <x v="0"/>
    <x v="0"/>
    <m/>
    <m/>
    <m/>
    <m/>
    <m/>
    <m/>
    <m/>
    <m/>
    <m/>
    <m/>
    <n v="2"/>
    <n v="500"/>
    <n v="0"/>
    <n v="0"/>
  </r>
  <r>
    <n v="20"/>
    <s v="JUNAID"/>
    <x v="1"/>
    <x v="9"/>
    <x v="0"/>
    <x v="0"/>
    <m/>
    <m/>
    <m/>
    <m/>
    <m/>
    <m/>
    <m/>
    <m/>
    <m/>
    <m/>
    <n v="2"/>
    <n v="600"/>
    <n v="0"/>
    <n v="0"/>
  </r>
  <r>
    <n v="21"/>
    <s v="ARIBA "/>
    <x v="7"/>
    <x v="8"/>
    <x v="2"/>
    <x v="2"/>
    <s v="LEFT"/>
    <s v="LEFT"/>
    <s v="LEFT"/>
    <s v="LEFT"/>
    <s v="LEFT"/>
    <s v="LEFT"/>
    <s v="LEFT"/>
    <s v="LEFT"/>
    <s v="LEFT"/>
    <m/>
    <n v="0"/>
    <n v="0"/>
    <n v="0"/>
    <n v="0"/>
  </r>
  <r>
    <n v="22"/>
    <s v="OWAISH"/>
    <x v="9"/>
    <x v="6"/>
    <x v="0"/>
    <x v="1"/>
    <s v="LEFT"/>
    <s v="LEFT"/>
    <s v="LEFT"/>
    <s v="LEFT"/>
    <s v="LEFT"/>
    <s v="LEFT"/>
    <s v="LEFT"/>
    <s v="LEFT"/>
    <s v="LEFT"/>
    <m/>
    <n v="1"/>
    <n v="250"/>
    <n v="1"/>
    <n v="250"/>
  </r>
  <r>
    <n v="23"/>
    <s v="ARMAN "/>
    <x v="9"/>
    <x v="6"/>
    <x v="0"/>
    <x v="0"/>
    <m/>
    <m/>
    <m/>
    <m/>
    <m/>
    <m/>
    <m/>
    <m/>
    <m/>
    <m/>
    <n v="2"/>
    <n v="500"/>
    <n v="0"/>
    <n v="0"/>
  </r>
  <r>
    <n v="24"/>
    <s v="RIYA"/>
    <x v="10"/>
    <x v="0"/>
    <x v="0"/>
    <x v="0"/>
    <m/>
    <m/>
    <m/>
    <m/>
    <m/>
    <m/>
    <m/>
    <m/>
    <m/>
    <m/>
    <n v="2"/>
    <n v="400"/>
    <n v="0"/>
    <n v="0"/>
  </r>
  <r>
    <n v="25"/>
    <s v="NAYRA"/>
    <x v="7"/>
    <x v="8"/>
    <x v="1"/>
    <x v="1"/>
    <s v="UNPAID"/>
    <s v="UNPAID"/>
    <s v="UNPAID"/>
    <s v="UNPAID"/>
    <s v="UNPAID"/>
    <s v="UNPAID"/>
    <s v="UNPAID"/>
    <s v="UNPAID"/>
    <s v="UNPAID"/>
    <m/>
    <n v="0"/>
    <n v="0"/>
    <n v="11"/>
    <n v="5500"/>
  </r>
  <r>
    <n v="26"/>
    <s v="OLD PARI"/>
    <x v="10"/>
    <x v="2"/>
    <x v="0"/>
    <x v="0"/>
    <s v="PAID"/>
    <s v="PAID"/>
    <s v="PAID"/>
    <s v="PAID"/>
    <s v="PAID"/>
    <s v="PAID"/>
    <s v="PAID"/>
    <s v="PAID"/>
    <s v="PAID"/>
    <m/>
    <n v="11"/>
    <n v="0"/>
    <n v="0"/>
    <n v="0"/>
  </r>
  <r>
    <n v="27"/>
    <s v="VINAYAK "/>
    <x v="8"/>
    <x v="9"/>
    <x v="0"/>
    <x v="0"/>
    <m/>
    <m/>
    <m/>
    <m/>
    <m/>
    <m/>
    <m/>
    <m/>
    <m/>
    <m/>
    <n v="2"/>
    <n v="600"/>
    <n v="0"/>
    <n v="0"/>
  </r>
  <r>
    <n v="28"/>
    <s v="AAIRAH"/>
    <x v="1"/>
    <x v="11"/>
    <x v="3"/>
    <x v="0"/>
    <m/>
    <m/>
    <m/>
    <m/>
    <m/>
    <m/>
    <m/>
    <m/>
    <m/>
    <m/>
    <n v="1"/>
    <n v="350"/>
    <n v="0"/>
    <n v="0"/>
  </r>
  <r>
    <n v="29"/>
    <s v="ANAS"/>
    <x v="10"/>
    <x v="0"/>
    <x v="3"/>
    <x v="0"/>
    <m/>
    <m/>
    <m/>
    <m/>
    <m/>
    <m/>
    <m/>
    <m/>
    <m/>
    <m/>
    <n v="1"/>
    <n v="200"/>
    <n v="0"/>
    <n v="0"/>
  </r>
  <r>
    <n v="30"/>
    <s v="SHIVIN"/>
    <x v="0"/>
    <x v="0"/>
    <x v="0"/>
    <x v="2"/>
    <s v="LEFT"/>
    <s v="LEFT"/>
    <s v="LEFT"/>
    <s v="LEFT"/>
    <s v="LEFT"/>
    <s v="LEFT"/>
    <s v="LEFT"/>
    <s v="LEFT"/>
    <s v="LEFT"/>
    <m/>
    <n v="1"/>
    <n v="200"/>
    <n v="0"/>
    <n v="0"/>
  </r>
  <r>
    <n v="31"/>
    <s v="SALIYA"/>
    <x v="8"/>
    <x v="9"/>
    <x v="0"/>
    <x v="0"/>
    <m/>
    <m/>
    <m/>
    <m/>
    <m/>
    <m/>
    <m/>
    <m/>
    <m/>
    <m/>
    <n v="2"/>
    <n v="600"/>
    <n v="0"/>
    <n v="0"/>
  </r>
  <r>
    <n v="32"/>
    <s v="ADIL"/>
    <x v="10"/>
    <x v="12"/>
    <x v="0"/>
    <x v="0"/>
    <m/>
    <m/>
    <m/>
    <m/>
    <m/>
    <m/>
    <m/>
    <m/>
    <m/>
    <m/>
    <n v="2"/>
    <n v="300"/>
    <n v="0"/>
    <n v="0"/>
  </r>
  <r>
    <n v="33"/>
    <s v="KRISHIV "/>
    <x v="0"/>
    <x v="0"/>
    <x v="1"/>
    <x v="3"/>
    <s v="NOT CAME"/>
    <m/>
    <m/>
    <m/>
    <m/>
    <m/>
    <m/>
    <m/>
    <m/>
    <m/>
    <n v="0"/>
    <n v="0"/>
    <n v="1"/>
    <n v="200"/>
  </r>
  <r>
    <n v="34"/>
    <s v="LAKSHY"/>
    <x v="0"/>
    <x v="12"/>
    <x v="1"/>
    <x v="1"/>
    <s v="UNPAID"/>
    <s v="UNPAID"/>
    <s v="UNPAID"/>
    <s v="UNPAID"/>
    <s v="UNPAID"/>
    <s v="UNPAID"/>
    <s v="UNPAID"/>
    <s v="UNPAID"/>
    <s v="UNPAID"/>
    <m/>
    <n v="0"/>
    <n v="0"/>
    <n v="11"/>
    <n v="1650"/>
  </r>
  <r>
    <n v="35"/>
    <s v="SHAALU"/>
    <x v="4"/>
    <x v="4"/>
    <x v="0"/>
    <x v="0"/>
    <m/>
    <m/>
    <m/>
    <m/>
    <m/>
    <m/>
    <m/>
    <m/>
    <m/>
    <m/>
    <n v="2"/>
    <n v="1800"/>
    <n v="0"/>
    <n v="0"/>
  </r>
  <r>
    <n v="36"/>
    <s v="MANTASHA"/>
    <x v="8"/>
    <x v="6"/>
    <x v="3"/>
    <x v="1"/>
    <m/>
    <m/>
    <m/>
    <m/>
    <m/>
    <m/>
    <m/>
    <m/>
    <m/>
    <m/>
    <n v="0"/>
    <n v="0"/>
    <n v="1"/>
    <n v="250"/>
  </r>
  <r>
    <n v="37"/>
    <s v="SHARAFAT ALI"/>
    <x v="2"/>
    <x v="0"/>
    <x v="3"/>
    <x v="1"/>
    <m/>
    <m/>
    <m/>
    <m/>
    <m/>
    <m/>
    <m/>
    <m/>
    <m/>
    <m/>
    <n v="0"/>
    <n v="0"/>
    <n v="1"/>
    <n v="200"/>
  </r>
  <r>
    <n v="38"/>
    <s v="KRITI"/>
    <x v="8"/>
    <x v="6"/>
    <x v="3"/>
    <x v="0"/>
    <m/>
    <m/>
    <m/>
    <m/>
    <m/>
    <m/>
    <m/>
    <m/>
    <m/>
    <m/>
    <n v="1"/>
    <n v="250"/>
    <n v="0"/>
    <n v="0"/>
  </r>
  <r>
    <n v="39"/>
    <s v="KARTIK"/>
    <x v="10"/>
    <x v="0"/>
    <x v="3"/>
    <x v="0"/>
    <m/>
    <m/>
    <m/>
    <m/>
    <m/>
    <m/>
    <m/>
    <m/>
    <m/>
    <m/>
    <n v="1"/>
    <n v="200"/>
    <n v="0"/>
    <n v="0"/>
  </r>
  <r>
    <n v="40"/>
    <s v="NIKHIL "/>
    <x v="7"/>
    <x v="8"/>
    <x v="3"/>
    <x v="0"/>
    <m/>
    <m/>
    <m/>
    <m/>
    <m/>
    <m/>
    <m/>
    <m/>
    <m/>
    <m/>
    <n v="1"/>
    <n v="500"/>
    <n v="0"/>
    <n v="0"/>
  </r>
  <r>
    <n v="41"/>
    <s v="SATYAM "/>
    <x v="1"/>
    <x v="1"/>
    <x v="3"/>
    <x v="0"/>
    <m/>
    <m/>
    <m/>
    <m/>
    <m/>
    <m/>
    <m/>
    <m/>
    <m/>
    <m/>
    <n v="1"/>
    <n v="400"/>
    <n v="0"/>
    <n v="0"/>
  </r>
  <r>
    <n v="42"/>
    <s v="RIZWAN "/>
    <x v="9"/>
    <x v="9"/>
    <x v="3"/>
    <x v="1"/>
    <s v="UNPAID"/>
    <s v="UNPAID"/>
    <s v="UNPAID"/>
    <s v="UNPAID"/>
    <s v="UNPAID"/>
    <s v="UNPAID"/>
    <s v="UNPAID"/>
    <s v="UNPAID"/>
    <s v="UNPAID"/>
    <m/>
    <n v="0"/>
    <n v="0"/>
    <n v="10"/>
    <n v="3000"/>
  </r>
  <r>
    <n v="43"/>
    <s v="UMAIRA"/>
    <x v="0"/>
    <x v="0"/>
    <x v="3"/>
    <x v="1"/>
    <s v="UNPAID"/>
    <s v="UNPAID"/>
    <s v="UNPAID"/>
    <s v="UNPAID"/>
    <s v="UNPAID"/>
    <s v="UNPAID"/>
    <s v="UNPAID"/>
    <s v="UNPAID"/>
    <s v="UNPAID"/>
    <m/>
    <n v="0"/>
    <n v="0"/>
    <n v="10"/>
    <n v="2000"/>
  </r>
  <r>
    <n v="44"/>
    <s v="ATIFA"/>
    <x v="1"/>
    <x v="11"/>
    <x v="3"/>
    <x v="0"/>
    <m/>
    <m/>
    <m/>
    <m/>
    <m/>
    <m/>
    <m/>
    <m/>
    <m/>
    <m/>
    <n v="1"/>
    <n v="350"/>
    <n v="0"/>
    <n v="0"/>
  </r>
  <r>
    <n v="45"/>
    <s v="UMAIR"/>
    <x v="2"/>
    <x v="0"/>
    <x v="3"/>
    <x v="0"/>
    <m/>
    <m/>
    <m/>
    <m/>
    <m/>
    <m/>
    <m/>
    <m/>
    <m/>
    <m/>
    <n v="1"/>
    <n v="200"/>
    <n v="0"/>
    <n v="0"/>
  </r>
  <r>
    <n v="46"/>
    <s v="SARTHAK"/>
    <x v="7"/>
    <x v="8"/>
    <x v="3"/>
    <x v="0"/>
    <m/>
    <m/>
    <m/>
    <m/>
    <m/>
    <m/>
    <m/>
    <m/>
    <m/>
    <m/>
    <n v="1"/>
    <n v="500"/>
    <n v="0"/>
    <n v="0"/>
  </r>
  <r>
    <n v="47"/>
    <s v="DISHANT "/>
    <x v="8"/>
    <x v="9"/>
    <x v="3"/>
    <x v="0"/>
    <m/>
    <m/>
    <m/>
    <m/>
    <m/>
    <m/>
    <m/>
    <m/>
    <m/>
    <m/>
    <n v="1"/>
    <n v="300"/>
    <n v="0"/>
    <n v="0"/>
  </r>
  <r>
    <n v="48"/>
    <s v="SHALINI"/>
    <x v="7"/>
    <x v="8"/>
    <x v="3"/>
    <x v="0"/>
    <m/>
    <m/>
    <m/>
    <m/>
    <m/>
    <m/>
    <m/>
    <m/>
    <m/>
    <m/>
    <n v="1"/>
    <n v="500"/>
    <n v="0"/>
    <n v="0"/>
  </r>
  <r>
    <n v="49"/>
    <s v="JIYA"/>
    <x v="3"/>
    <x v="3"/>
    <x v="3"/>
    <x v="0"/>
    <s v="LEFT"/>
    <s v="LEFT"/>
    <s v="LEFT"/>
    <s v="LEFT"/>
    <s v="LEFT"/>
    <s v="LEFT"/>
    <s v="LEFT"/>
    <s v="LEFT"/>
    <s v="LEFT"/>
    <m/>
    <n v="1"/>
    <n v="800"/>
    <n v="0"/>
    <n v="0"/>
  </r>
  <r>
    <n v="50"/>
    <s v="ANIKA"/>
    <x v="1"/>
    <x v="1"/>
    <x v="3"/>
    <x v="0"/>
    <m/>
    <m/>
    <m/>
    <m/>
    <m/>
    <m/>
    <m/>
    <m/>
    <m/>
    <m/>
    <n v="1"/>
    <n v="400"/>
    <n v="0"/>
    <n v="0"/>
  </r>
  <r>
    <n v="51"/>
    <s v="SAMAR"/>
    <x v="1"/>
    <x v="1"/>
    <x v="3"/>
    <x v="0"/>
    <m/>
    <m/>
    <m/>
    <m/>
    <m/>
    <m/>
    <m/>
    <m/>
    <m/>
    <m/>
    <n v="1"/>
    <n v="400"/>
    <n v="0"/>
    <n v="0"/>
  </r>
  <r>
    <n v="52"/>
    <s v="USAID"/>
    <x v="8"/>
    <x v="6"/>
    <x v="3"/>
    <x v="3"/>
    <m/>
    <m/>
    <m/>
    <m/>
    <m/>
    <m/>
    <m/>
    <m/>
    <m/>
    <m/>
    <n v="0"/>
    <n v="0"/>
    <n v="0"/>
    <n v="0"/>
  </r>
  <r>
    <n v="53"/>
    <s v="KARISHMA "/>
    <x v="7"/>
    <x v="8"/>
    <x v="3"/>
    <x v="0"/>
    <m/>
    <m/>
    <m/>
    <m/>
    <m/>
    <m/>
    <m/>
    <m/>
    <m/>
    <m/>
    <n v="1"/>
    <n v="500"/>
    <n v="0"/>
    <n v="0"/>
  </r>
  <r>
    <n v="54"/>
    <s v="SATYAPRAKASH "/>
    <x v="1"/>
    <x v="1"/>
    <x v="3"/>
    <x v="0"/>
    <m/>
    <m/>
    <m/>
    <m/>
    <m/>
    <m/>
    <m/>
    <m/>
    <m/>
    <m/>
    <n v="1"/>
    <n v="400"/>
    <n v="0"/>
    <n v="0"/>
  </r>
  <r>
    <n v="55"/>
    <s v="ANAMIKA"/>
    <x v="8"/>
    <x v="9"/>
    <x v="3"/>
    <x v="0"/>
    <m/>
    <m/>
    <m/>
    <m/>
    <m/>
    <m/>
    <m/>
    <m/>
    <m/>
    <m/>
    <n v="1"/>
    <n v="300"/>
    <n v="0"/>
    <n v="0"/>
  </r>
  <r>
    <n v="56"/>
    <s v="HARSHMAN"/>
    <x v="10"/>
    <x v="0"/>
    <x v="3"/>
    <x v="0"/>
    <m/>
    <m/>
    <m/>
    <m/>
    <m/>
    <m/>
    <m/>
    <m/>
    <m/>
    <m/>
    <n v="1"/>
    <n v="200"/>
    <n v="0"/>
    <n v="0"/>
  </r>
  <r>
    <n v="57"/>
    <s v="AFIFA"/>
    <x v="5"/>
    <x v="13"/>
    <x v="3"/>
    <x v="3"/>
    <m/>
    <m/>
    <m/>
    <m/>
    <m/>
    <m/>
    <m/>
    <m/>
    <m/>
    <m/>
    <n v="0"/>
    <n v="0"/>
    <n v="0"/>
    <n v="0"/>
  </r>
  <r>
    <n v="58"/>
    <s v="SAFU"/>
    <x v="9"/>
    <x v="6"/>
    <x v="3"/>
    <x v="3"/>
    <m/>
    <m/>
    <m/>
    <m/>
    <m/>
    <m/>
    <m/>
    <m/>
    <m/>
    <m/>
    <n v="0"/>
    <n v="0"/>
    <n v="0"/>
    <n v="0"/>
  </r>
  <r>
    <n v="59"/>
    <s v="HAMDAN"/>
    <x v="1"/>
    <x v="11"/>
    <x v="3"/>
    <x v="3"/>
    <m/>
    <m/>
    <m/>
    <m/>
    <m/>
    <m/>
    <m/>
    <m/>
    <m/>
    <m/>
    <n v="0"/>
    <n v="0"/>
    <n v="0"/>
    <n v="0"/>
  </r>
  <r>
    <n v="60"/>
    <s v="KHUSHI"/>
    <x v="0"/>
    <x v="0"/>
    <x v="3"/>
    <x v="3"/>
    <m/>
    <m/>
    <m/>
    <m/>
    <m/>
    <m/>
    <m/>
    <m/>
    <m/>
    <m/>
    <n v="0"/>
    <n v="0"/>
    <n v="0"/>
    <n v="0"/>
  </r>
  <r>
    <n v="61"/>
    <s v="SHAKSHI"/>
    <x v="9"/>
    <x v="6"/>
    <x v="3"/>
    <x v="3"/>
    <m/>
    <m/>
    <m/>
    <m/>
    <m/>
    <m/>
    <m/>
    <m/>
    <m/>
    <m/>
    <n v="0"/>
    <n v="0"/>
    <n v="0"/>
    <n v="0"/>
  </r>
  <r>
    <n v="62"/>
    <s v="RAJVEER"/>
    <x v="2"/>
    <x v="0"/>
    <x v="3"/>
    <x v="3"/>
    <m/>
    <m/>
    <m/>
    <m/>
    <m/>
    <m/>
    <m/>
    <m/>
    <m/>
    <m/>
    <n v="0"/>
    <n v="0"/>
    <n v="0"/>
    <n v="0"/>
  </r>
  <r>
    <n v="63"/>
    <s v="ANAS"/>
    <x v="0"/>
    <x v="0"/>
    <x v="4"/>
    <x v="4"/>
    <m/>
    <m/>
    <m/>
    <m/>
    <m/>
    <m/>
    <m/>
    <m/>
    <m/>
    <m/>
    <n v="0"/>
    <n v="0"/>
    <n v="0"/>
    <n v="0"/>
  </r>
  <r>
    <n v="64"/>
    <n v="0"/>
    <x v="11"/>
    <x v="2"/>
    <x v="4"/>
    <x v="4"/>
    <m/>
    <m/>
    <m/>
    <m/>
    <m/>
    <m/>
    <m/>
    <m/>
    <m/>
    <m/>
    <n v="0"/>
    <n v="0"/>
    <n v="0"/>
    <n v="0"/>
  </r>
  <r>
    <n v="65"/>
    <n v="0"/>
    <x v="11"/>
    <x v="2"/>
    <x v="4"/>
    <x v="4"/>
    <m/>
    <m/>
    <m/>
    <m/>
    <m/>
    <m/>
    <m/>
    <m/>
    <m/>
    <m/>
    <n v="0"/>
    <n v="0"/>
    <n v="0"/>
    <n v="0"/>
  </r>
  <r>
    <n v="66"/>
    <n v="0"/>
    <x v="11"/>
    <x v="2"/>
    <x v="4"/>
    <x v="4"/>
    <m/>
    <m/>
    <m/>
    <m/>
    <m/>
    <m/>
    <m/>
    <m/>
    <m/>
    <m/>
    <n v="0"/>
    <n v="0"/>
    <n v="0"/>
    <n v="0"/>
  </r>
  <r>
    <n v="67"/>
    <n v="0"/>
    <x v="11"/>
    <x v="2"/>
    <x v="4"/>
    <x v="4"/>
    <m/>
    <m/>
    <m/>
    <m/>
    <m/>
    <m/>
    <m/>
    <m/>
    <m/>
    <m/>
    <n v="0"/>
    <n v="0"/>
    <n v="0"/>
    <n v="0"/>
  </r>
  <r>
    <n v="68"/>
    <n v="0"/>
    <x v="11"/>
    <x v="2"/>
    <x v="4"/>
    <x v="4"/>
    <m/>
    <m/>
    <m/>
    <m/>
    <m/>
    <m/>
    <m/>
    <m/>
    <m/>
    <m/>
    <n v="0"/>
    <n v="0"/>
    <n v="0"/>
    <n v="0"/>
  </r>
  <r>
    <n v="69"/>
    <n v="0"/>
    <x v="11"/>
    <x v="2"/>
    <x v="4"/>
    <x v="4"/>
    <m/>
    <m/>
    <m/>
    <m/>
    <m/>
    <m/>
    <m/>
    <m/>
    <m/>
    <m/>
    <n v="0"/>
    <n v="0"/>
    <n v="0"/>
    <n v="0"/>
  </r>
  <r>
    <n v="70"/>
    <n v="0"/>
    <x v="11"/>
    <x v="2"/>
    <x v="4"/>
    <x v="4"/>
    <m/>
    <m/>
    <m/>
    <m/>
    <m/>
    <m/>
    <m/>
    <m/>
    <m/>
    <m/>
    <n v="0"/>
    <n v="0"/>
    <n v="0"/>
    <n v="0"/>
  </r>
  <r>
    <n v="71"/>
    <n v="0"/>
    <x v="11"/>
    <x v="2"/>
    <x v="4"/>
    <x v="4"/>
    <m/>
    <m/>
    <m/>
    <m/>
    <m/>
    <m/>
    <m/>
    <m/>
    <m/>
    <m/>
    <n v="0"/>
    <n v="0"/>
    <n v="0"/>
    <n v="0"/>
  </r>
  <r>
    <n v="72"/>
    <n v="0"/>
    <x v="11"/>
    <x v="2"/>
    <x v="4"/>
    <x v="4"/>
    <m/>
    <m/>
    <m/>
    <m/>
    <m/>
    <m/>
    <m/>
    <m/>
    <m/>
    <m/>
    <n v="0"/>
    <n v="0"/>
    <n v="0"/>
    <n v="0"/>
  </r>
  <r>
    <n v="73"/>
    <n v="0"/>
    <x v="11"/>
    <x v="2"/>
    <x v="4"/>
    <x v="4"/>
    <m/>
    <m/>
    <m/>
    <m/>
    <m/>
    <m/>
    <m/>
    <m/>
    <m/>
    <m/>
    <n v="0"/>
    <n v="0"/>
    <n v="0"/>
    <n v="0"/>
  </r>
  <r>
    <n v="74"/>
    <n v="0"/>
    <x v="11"/>
    <x v="2"/>
    <x v="4"/>
    <x v="4"/>
    <m/>
    <m/>
    <m/>
    <m/>
    <m/>
    <m/>
    <m/>
    <m/>
    <m/>
    <m/>
    <n v="0"/>
    <n v="0"/>
    <n v="0"/>
    <n v="0"/>
  </r>
  <r>
    <n v="75"/>
    <n v="0"/>
    <x v="11"/>
    <x v="2"/>
    <x v="4"/>
    <x v="4"/>
    <m/>
    <m/>
    <m/>
    <m/>
    <m/>
    <m/>
    <m/>
    <m/>
    <m/>
    <m/>
    <n v="0"/>
    <n v="0"/>
    <n v="0"/>
    <n v="0"/>
  </r>
  <r>
    <n v="76"/>
    <n v="0"/>
    <x v="11"/>
    <x v="2"/>
    <x v="4"/>
    <x v="4"/>
    <m/>
    <m/>
    <m/>
    <m/>
    <m/>
    <m/>
    <m/>
    <m/>
    <m/>
    <m/>
    <n v="0"/>
    <n v="0"/>
    <n v="0"/>
    <n v="0"/>
  </r>
  <r>
    <n v="77"/>
    <n v="0"/>
    <x v="11"/>
    <x v="2"/>
    <x v="4"/>
    <x v="4"/>
    <m/>
    <m/>
    <m/>
    <m/>
    <m/>
    <m/>
    <m/>
    <m/>
    <m/>
    <m/>
    <n v="0"/>
    <n v="0"/>
    <n v="0"/>
    <n v="0"/>
  </r>
  <r>
    <n v="78"/>
    <n v="0"/>
    <x v="11"/>
    <x v="2"/>
    <x v="4"/>
    <x v="4"/>
    <m/>
    <m/>
    <m/>
    <m/>
    <m/>
    <m/>
    <m/>
    <m/>
    <m/>
    <m/>
    <n v="0"/>
    <n v="0"/>
    <n v="0"/>
    <n v="0"/>
  </r>
  <r>
    <n v="79"/>
    <n v="0"/>
    <x v="11"/>
    <x v="2"/>
    <x v="4"/>
    <x v="4"/>
    <m/>
    <m/>
    <m/>
    <m/>
    <m/>
    <m/>
    <m/>
    <m/>
    <m/>
    <m/>
    <n v="0"/>
    <n v="0"/>
    <n v="0"/>
    <n v="0"/>
  </r>
  <r>
    <n v="80"/>
    <n v="0"/>
    <x v="11"/>
    <x v="2"/>
    <x v="4"/>
    <x v="4"/>
    <m/>
    <m/>
    <m/>
    <m/>
    <m/>
    <m/>
    <m/>
    <m/>
    <m/>
    <m/>
    <n v="0"/>
    <n v="0"/>
    <n v="0"/>
    <n v="0"/>
  </r>
  <r>
    <n v="81"/>
    <n v="0"/>
    <x v="11"/>
    <x v="2"/>
    <x v="4"/>
    <x v="4"/>
    <m/>
    <m/>
    <m/>
    <m/>
    <m/>
    <m/>
    <m/>
    <m/>
    <m/>
    <m/>
    <n v="0"/>
    <n v="0"/>
    <n v="0"/>
    <n v="0"/>
  </r>
  <r>
    <n v="82"/>
    <n v="0"/>
    <x v="11"/>
    <x v="2"/>
    <x v="4"/>
    <x v="4"/>
    <m/>
    <m/>
    <m/>
    <m/>
    <m/>
    <m/>
    <m/>
    <m/>
    <m/>
    <m/>
    <n v="0"/>
    <n v="0"/>
    <n v="0"/>
    <n v="0"/>
  </r>
  <r>
    <n v="83"/>
    <n v="0"/>
    <x v="11"/>
    <x v="2"/>
    <x v="4"/>
    <x v="4"/>
    <m/>
    <m/>
    <m/>
    <m/>
    <m/>
    <m/>
    <m/>
    <m/>
    <m/>
    <m/>
    <n v="0"/>
    <n v="0"/>
    <n v="0"/>
    <n v="0"/>
  </r>
  <r>
    <n v="84"/>
    <n v="0"/>
    <x v="11"/>
    <x v="2"/>
    <x v="4"/>
    <x v="4"/>
    <m/>
    <m/>
    <m/>
    <m/>
    <m/>
    <m/>
    <m/>
    <m/>
    <m/>
    <m/>
    <n v="0"/>
    <n v="0"/>
    <n v="0"/>
    <n v="0"/>
  </r>
  <r>
    <n v="85"/>
    <n v="0"/>
    <x v="11"/>
    <x v="2"/>
    <x v="4"/>
    <x v="4"/>
    <m/>
    <m/>
    <m/>
    <m/>
    <m/>
    <m/>
    <m/>
    <m/>
    <m/>
    <m/>
    <n v="0"/>
    <n v="0"/>
    <n v="0"/>
    <n v="0"/>
  </r>
  <r>
    <n v="86"/>
    <n v="0"/>
    <x v="11"/>
    <x v="2"/>
    <x v="4"/>
    <x v="4"/>
    <m/>
    <m/>
    <m/>
    <m/>
    <m/>
    <m/>
    <m/>
    <m/>
    <m/>
    <m/>
    <n v="0"/>
    <n v="0"/>
    <n v="0"/>
    <n v="0"/>
  </r>
  <r>
    <n v="87"/>
    <n v="0"/>
    <x v="11"/>
    <x v="2"/>
    <x v="4"/>
    <x v="4"/>
    <m/>
    <m/>
    <m/>
    <m/>
    <m/>
    <m/>
    <m/>
    <m/>
    <m/>
    <m/>
    <n v="0"/>
    <n v="0"/>
    <n v="0"/>
    <n v="0"/>
  </r>
  <r>
    <n v="88"/>
    <n v="0"/>
    <x v="11"/>
    <x v="2"/>
    <x v="4"/>
    <x v="4"/>
    <m/>
    <m/>
    <m/>
    <m/>
    <m/>
    <m/>
    <m/>
    <m/>
    <m/>
    <m/>
    <n v="0"/>
    <n v="0"/>
    <n v="0"/>
    <n v="0"/>
  </r>
  <r>
    <n v="89"/>
    <n v="0"/>
    <x v="11"/>
    <x v="2"/>
    <x v="4"/>
    <x v="4"/>
    <m/>
    <m/>
    <m/>
    <m/>
    <m/>
    <m/>
    <m/>
    <m/>
    <m/>
    <m/>
    <n v="0"/>
    <n v="0"/>
    <n v="0"/>
    <n v="0"/>
  </r>
  <r>
    <n v="90"/>
    <n v="0"/>
    <x v="11"/>
    <x v="2"/>
    <x v="4"/>
    <x v="4"/>
    <m/>
    <m/>
    <m/>
    <m/>
    <m/>
    <m/>
    <m/>
    <m/>
    <m/>
    <m/>
    <n v="0"/>
    <n v="0"/>
    <n v="0"/>
    <n v="0"/>
  </r>
  <r>
    <n v="91"/>
    <n v="0"/>
    <x v="11"/>
    <x v="2"/>
    <x v="4"/>
    <x v="4"/>
    <m/>
    <m/>
    <m/>
    <m/>
    <m/>
    <m/>
    <m/>
    <m/>
    <m/>
    <m/>
    <n v="0"/>
    <n v="0"/>
    <n v="0"/>
    <n v="0"/>
  </r>
  <r>
    <n v="92"/>
    <n v="0"/>
    <x v="11"/>
    <x v="2"/>
    <x v="4"/>
    <x v="4"/>
    <m/>
    <m/>
    <m/>
    <m/>
    <m/>
    <m/>
    <m/>
    <m/>
    <m/>
    <m/>
    <n v="0"/>
    <n v="0"/>
    <n v="0"/>
    <n v="0"/>
  </r>
  <r>
    <n v="93"/>
    <n v="0"/>
    <x v="11"/>
    <x v="2"/>
    <x v="4"/>
    <x v="4"/>
    <m/>
    <m/>
    <m/>
    <m/>
    <m/>
    <m/>
    <m/>
    <m/>
    <m/>
    <m/>
    <n v="0"/>
    <n v="0"/>
    <n v="0"/>
    <n v="0"/>
  </r>
  <r>
    <n v="94"/>
    <n v="0"/>
    <x v="11"/>
    <x v="2"/>
    <x v="4"/>
    <x v="4"/>
    <m/>
    <m/>
    <m/>
    <m/>
    <m/>
    <m/>
    <m/>
    <m/>
    <m/>
    <m/>
    <n v="0"/>
    <n v="0"/>
    <n v="0"/>
    <n v="0"/>
  </r>
  <r>
    <n v="95"/>
    <n v="0"/>
    <x v="11"/>
    <x v="2"/>
    <x v="4"/>
    <x v="4"/>
    <m/>
    <m/>
    <m/>
    <m/>
    <m/>
    <m/>
    <m/>
    <m/>
    <m/>
    <m/>
    <n v="0"/>
    <n v="0"/>
    <n v="0"/>
    <n v="0"/>
  </r>
  <r>
    <n v="96"/>
    <n v="0"/>
    <x v="11"/>
    <x v="2"/>
    <x v="4"/>
    <x v="4"/>
    <m/>
    <m/>
    <m/>
    <m/>
    <m/>
    <m/>
    <m/>
    <m/>
    <m/>
    <m/>
    <n v="0"/>
    <n v="0"/>
    <n v="0"/>
    <n v="0"/>
  </r>
  <r>
    <n v="97"/>
    <n v="0"/>
    <x v="11"/>
    <x v="2"/>
    <x v="4"/>
    <x v="4"/>
    <m/>
    <m/>
    <m/>
    <m/>
    <m/>
    <m/>
    <m/>
    <m/>
    <m/>
    <m/>
    <n v="0"/>
    <n v="0"/>
    <n v="0"/>
    <n v="0"/>
  </r>
  <r>
    <n v="98"/>
    <n v="0"/>
    <x v="11"/>
    <x v="2"/>
    <x v="4"/>
    <x v="4"/>
    <m/>
    <m/>
    <m/>
    <m/>
    <m/>
    <m/>
    <m/>
    <m/>
    <m/>
    <m/>
    <n v="0"/>
    <n v="0"/>
    <n v="0"/>
    <n v="0"/>
  </r>
  <r>
    <n v="99"/>
    <n v="0"/>
    <x v="11"/>
    <x v="2"/>
    <x v="4"/>
    <x v="4"/>
    <m/>
    <m/>
    <m/>
    <m/>
    <m/>
    <m/>
    <m/>
    <m/>
    <m/>
    <m/>
    <n v="0"/>
    <n v="0"/>
    <n v="0"/>
    <n v="0"/>
  </r>
  <r>
    <n v="100"/>
    <n v="0"/>
    <x v="11"/>
    <x v="2"/>
    <x v="4"/>
    <x v="4"/>
    <m/>
    <m/>
    <m/>
    <m/>
    <m/>
    <m/>
    <m/>
    <m/>
    <m/>
    <m/>
    <n v="0"/>
    <n v="0"/>
    <n v="0"/>
    <n v="0"/>
  </r>
  <r>
    <n v="101"/>
    <n v="0"/>
    <x v="11"/>
    <x v="2"/>
    <x v="4"/>
    <x v="4"/>
    <m/>
    <m/>
    <m/>
    <m/>
    <m/>
    <m/>
    <m/>
    <m/>
    <m/>
    <m/>
    <n v="0"/>
    <n v="0"/>
    <n v="0"/>
    <n v="0"/>
  </r>
  <r>
    <n v="102"/>
    <n v="0"/>
    <x v="11"/>
    <x v="2"/>
    <x v="4"/>
    <x v="4"/>
    <m/>
    <m/>
    <m/>
    <m/>
    <m/>
    <m/>
    <m/>
    <m/>
    <m/>
    <m/>
    <n v="0"/>
    <n v="0"/>
    <n v="0"/>
    <n v="0"/>
  </r>
  <r>
    <n v="103"/>
    <n v="0"/>
    <x v="11"/>
    <x v="2"/>
    <x v="4"/>
    <x v="4"/>
    <m/>
    <m/>
    <m/>
    <m/>
    <m/>
    <m/>
    <m/>
    <m/>
    <m/>
    <m/>
    <n v="0"/>
    <n v="0"/>
    <n v="0"/>
    <n v="0"/>
  </r>
  <r>
    <n v="104"/>
    <n v="0"/>
    <x v="11"/>
    <x v="2"/>
    <x v="4"/>
    <x v="4"/>
    <m/>
    <m/>
    <m/>
    <m/>
    <m/>
    <m/>
    <m/>
    <m/>
    <m/>
    <m/>
    <n v="0"/>
    <n v="0"/>
    <n v="0"/>
    <n v="0"/>
  </r>
  <r>
    <n v="105"/>
    <n v="0"/>
    <x v="11"/>
    <x v="2"/>
    <x v="4"/>
    <x v="4"/>
    <m/>
    <m/>
    <m/>
    <m/>
    <m/>
    <m/>
    <m/>
    <m/>
    <m/>
    <m/>
    <n v="0"/>
    <n v="0"/>
    <n v="0"/>
    <n v="0"/>
  </r>
  <r>
    <n v="106"/>
    <n v="0"/>
    <x v="11"/>
    <x v="2"/>
    <x v="4"/>
    <x v="4"/>
    <m/>
    <m/>
    <m/>
    <m/>
    <m/>
    <m/>
    <m/>
    <m/>
    <m/>
    <m/>
    <n v="0"/>
    <n v="0"/>
    <n v="0"/>
    <n v="0"/>
  </r>
  <r>
    <n v="107"/>
    <n v="0"/>
    <x v="11"/>
    <x v="2"/>
    <x v="4"/>
    <x v="4"/>
    <m/>
    <m/>
    <m/>
    <m/>
    <m/>
    <m/>
    <m/>
    <m/>
    <m/>
    <m/>
    <n v="0"/>
    <n v="0"/>
    <n v="0"/>
    <n v="0"/>
  </r>
  <r>
    <n v="108"/>
    <n v="0"/>
    <x v="11"/>
    <x v="2"/>
    <x v="4"/>
    <x v="4"/>
    <m/>
    <m/>
    <m/>
    <m/>
    <m/>
    <m/>
    <m/>
    <m/>
    <m/>
    <m/>
    <n v="0"/>
    <n v="0"/>
    <n v="0"/>
    <n v="0"/>
  </r>
  <r>
    <n v="109"/>
    <n v="0"/>
    <x v="11"/>
    <x v="2"/>
    <x v="4"/>
    <x v="4"/>
    <m/>
    <m/>
    <m/>
    <m/>
    <m/>
    <m/>
    <m/>
    <m/>
    <m/>
    <m/>
    <n v="0"/>
    <n v="0"/>
    <n v="0"/>
    <n v="0"/>
  </r>
  <r>
    <n v="110"/>
    <n v="0"/>
    <x v="11"/>
    <x v="2"/>
    <x v="4"/>
    <x v="4"/>
    <m/>
    <m/>
    <m/>
    <m/>
    <m/>
    <m/>
    <m/>
    <m/>
    <m/>
    <m/>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3516C1-2C8B-45E8-B342-AAD0CE4BA50A}" name="PivotTable3" cacheId="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A25:D38" firstHeaderRow="1" firstDataRow="2" firstDataCol="1"/>
  <pivotFields count="20">
    <pivotField showAll="0"/>
    <pivotField showAll="0"/>
    <pivotField axis="axisRow" showAll="0">
      <items count="13">
        <item x="11"/>
        <item x="0"/>
        <item x="6"/>
        <item x="2"/>
        <item x="9"/>
        <item x="8"/>
        <item x="1"/>
        <item x="7"/>
        <item x="5"/>
        <item x="3"/>
        <item x="4"/>
        <item x="10"/>
        <item t="default"/>
      </items>
    </pivotField>
    <pivotField dataField="1" numFmtId="165" showAll="0">
      <items count="15">
        <item x="2"/>
        <item x="12"/>
        <item x="0"/>
        <item x="6"/>
        <item x="9"/>
        <item x="11"/>
        <item x="1"/>
        <item x="8"/>
        <item x="13"/>
        <item x="5"/>
        <item x="3"/>
        <item x="4"/>
        <item x="10"/>
        <item x="7"/>
        <item t="default"/>
      </items>
    </pivotField>
    <pivotField multipleItemSelectionAllowed="1" showAll="0">
      <items count="6">
        <item x="2"/>
        <item h="1" x="3"/>
        <item x="0"/>
        <item h="1" x="1"/>
        <item h="1" x="4"/>
        <item t="default"/>
      </items>
    </pivotField>
    <pivotField axis="axisCol" showAll="0">
      <items count="6">
        <item h="1" x="2"/>
        <item h="1" x="3"/>
        <item x="0"/>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numFmtId="165" showAll="0"/>
  </pivotFields>
  <rowFields count="1">
    <field x="2"/>
  </rowFields>
  <rowItems count="12">
    <i>
      <x v="1"/>
    </i>
    <i>
      <x v="2"/>
    </i>
    <i>
      <x v="3"/>
    </i>
    <i>
      <x v="4"/>
    </i>
    <i>
      <x v="5"/>
    </i>
    <i>
      <x v="6"/>
    </i>
    <i>
      <x v="7"/>
    </i>
    <i>
      <x v="8"/>
    </i>
    <i>
      <x v="9"/>
    </i>
    <i>
      <x v="10"/>
    </i>
    <i>
      <x v="11"/>
    </i>
    <i t="grand">
      <x/>
    </i>
  </rowItems>
  <colFields count="1">
    <field x="5"/>
  </colFields>
  <colItems count="3">
    <i>
      <x v="2"/>
    </i>
    <i>
      <x v="3"/>
    </i>
    <i t="grand">
      <x/>
    </i>
  </colItems>
  <dataFields count="1">
    <dataField name="Sum of FEES AMOUNT" fld="3" baseField="0" baseItem="0"/>
  </dataFields>
  <formats count="32">
    <format dxfId="31">
      <pivotArea type="all" dataOnly="0" outline="0" fieldPosition="0"/>
    </format>
    <format dxfId="30">
      <pivotArea outline="0" collapsedLevelsAreSubtotals="1" fieldPosition="0"/>
    </format>
    <format dxfId="29">
      <pivotArea type="origin" dataOnly="0" labelOnly="1" outline="0" fieldPosition="0"/>
    </format>
    <format dxfId="28">
      <pivotArea field="-2" type="button" dataOnly="0" labelOnly="1" outline="0" axis="axisValues" fieldPosition="0"/>
    </format>
    <format dxfId="27">
      <pivotArea field="3" type="button" dataOnly="0" labelOnly="1" outline="0"/>
    </format>
    <format dxfId="26">
      <pivotArea type="topRight" dataOnly="0" labelOnly="1" outline="0" fieldPosition="0"/>
    </format>
    <format dxfId="25">
      <pivotArea field="4" type="button" dataOnly="0" labelOnly="1" outline="0"/>
    </format>
    <format dxfId="24">
      <pivotArea dataOnly="0" labelOnly="1" grandRow="1" outline="0" fieldPosition="0"/>
    </format>
    <format dxfId="23">
      <pivotArea type="all" dataOnly="0" outline="0" fieldPosition="0"/>
    </format>
    <format dxfId="22">
      <pivotArea outline="0" collapsedLevelsAreSubtotals="1" fieldPosition="0"/>
    </format>
    <format dxfId="21">
      <pivotArea type="origin" dataOnly="0" labelOnly="1" outline="0" fieldPosition="0"/>
    </format>
    <format dxfId="20">
      <pivotArea field="-2" type="button" dataOnly="0" labelOnly="1" outline="0" axis="axisValues" fieldPosition="0"/>
    </format>
    <format dxfId="19">
      <pivotArea field="3" type="button" dataOnly="0" labelOnly="1" outline="0"/>
    </format>
    <format dxfId="18">
      <pivotArea type="topRight" dataOnly="0" labelOnly="1" outline="0" fieldPosition="0"/>
    </format>
    <format dxfId="17">
      <pivotArea field="4" type="button" dataOnly="0" labelOnly="1" outline="0"/>
    </format>
    <format dxfId="16">
      <pivotArea dataOnly="0" labelOnly="1" grandRow="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2" type="button" dataOnly="0" labelOnly="1" outline="0" axis="axisValues" fieldPosition="0"/>
    </format>
    <format dxfId="11">
      <pivotArea field="3" type="button" dataOnly="0" labelOnly="1" outline="0"/>
    </format>
    <format dxfId="10">
      <pivotArea type="topRight" dataOnly="0" labelOnly="1" outline="0" fieldPosition="0"/>
    </format>
    <format dxfId="9">
      <pivotArea field="4" type="button" dataOnly="0" labelOnly="1" outline="0"/>
    </format>
    <format dxfId="8">
      <pivotArea dataOnly="0" labelOnly="1" grandRow="1" outline="0" fieldPosition="0"/>
    </format>
    <format dxfId="7">
      <pivotArea type="all" dataOnly="0" outline="0" fieldPosition="0"/>
    </format>
    <format dxfId="6">
      <pivotArea outline="0" collapsedLevelsAreSubtotals="1" fieldPosition="0"/>
    </format>
    <format dxfId="5">
      <pivotArea type="origin" dataOnly="0" labelOnly="1" outline="0" fieldPosition="0"/>
    </format>
    <format dxfId="4">
      <pivotArea field="-2" type="button" dataOnly="0" labelOnly="1" outline="0" axis="axisValues" fieldPosition="0"/>
    </format>
    <format dxfId="3">
      <pivotArea field="3" type="button" dataOnly="0" labelOnly="1" outline="0"/>
    </format>
    <format dxfId="2">
      <pivotArea type="topRight" dataOnly="0" labelOnly="1" outline="0" fieldPosition="0"/>
    </format>
    <format dxfId="1">
      <pivotArea field="4" type="button" dataOnly="0" labelOnly="1" outline="0"/>
    </format>
    <format dxfId="0">
      <pivotArea dataOnly="0" labelOnly="1" grandRow="1" outline="0" fieldPosition="0"/>
    </format>
  </formats>
  <chartFormats count="2">
    <chartFormat chart="4" format="14" series="1">
      <pivotArea type="data" outline="0" fieldPosition="0">
        <references count="2">
          <reference field="4294967294" count="1" selected="0">
            <x v="0"/>
          </reference>
          <reference field="5" count="1" selected="0">
            <x v="2"/>
          </reference>
        </references>
      </pivotArea>
    </chartFormat>
    <chartFormat chart="4" format="15"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42B8D1-76D8-4129-A39D-CDDF7A15DA35}"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11" firstHeaderRow="1" firstDataRow="2" firstDataCol="1"/>
  <pivotFields count="9">
    <pivotField showAll="0"/>
    <pivotField dataField="1" showAll="0"/>
    <pivotField axis="axisRow" showAll="0">
      <items count="13">
        <item x="0"/>
        <item h="1" x="10"/>
        <item x="2"/>
        <item x="9"/>
        <item x="8"/>
        <item x="1"/>
        <item h="1" x="7"/>
        <item h="1" x="5"/>
        <item h="1" x="3"/>
        <item h="1" x="4"/>
        <item x="6"/>
        <item h="1" x="11"/>
        <item t="default"/>
      </items>
    </pivotField>
    <pivotField showAll="0"/>
    <pivotField showAll="0"/>
    <pivotField axis="axisCol" showAll="0">
      <items count="5">
        <item x="0"/>
        <item x="1"/>
        <item h="1" x="2"/>
        <item m="1" x="3"/>
        <item t="default"/>
      </items>
    </pivotField>
    <pivotField showAll="0"/>
    <pivotField showAll="0"/>
    <pivotField showAll="0"/>
  </pivotFields>
  <rowFields count="1">
    <field x="2"/>
  </rowFields>
  <rowItems count="7">
    <i>
      <x/>
    </i>
    <i>
      <x v="2"/>
    </i>
    <i>
      <x v="3"/>
    </i>
    <i>
      <x v="4"/>
    </i>
    <i>
      <x v="5"/>
    </i>
    <i>
      <x v="10"/>
    </i>
    <i t="grand">
      <x/>
    </i>
  </rowItems>
  <colFields count="1">
    <field x="5"/>
  </colFields>
  <colItems count="3">
    <i>
      <x/>
    </i>
    <i>
      <x v="1"/>
    </i>
    <i t="grand">
      <x/>
    </i>
  </colItems>
  <dataFields count="1">
    <dataField name="ADMISSION DETAIL" fld="1" subtotal="count" baseField="0" baseItem="0"/>
  </dataFields>
  <formats count="85">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5" type="button" dataOnly="0" labelOnly="1" outline="0" axis="axisCol" fieldPosition="0"/>
    </format>
    <format dxfId="112">
      <pivotArea type="topRight" dataOnly="0" labelOnly="1" outline="0" fieldPosition="0"/>
    </format>
    <format dxfId="111">
      <pivotArea field="2" type="button" dataOnly="0" labelOnly="1" outline="0" axis="axisRow" fieldPosition="0"/>
    </format>
    <format dxfId="110">
      <pivotArea dataOnly="0" labelOnly="1" fieldPosition="0">
        <references count="1">
          <reference field="2" count="0"/>
        </references>
      </pivotArea>
    </format>
    <format dxfId="109">
      <pivotArea dataOnly="0" labelOnly="1" grandRow="1" outline="0" fieldPosition="0"/>
    </format>
    <format dxfId="108">
      <pivotArea dataOnly="0" labelOnly="1" grandCol="1" outline="0" fieldPosition="0"/>
    </format>
    <format dxfId="107">
      <pivotArea type="all" dataOnly="0" outline="0" fieldPosition="0"/>
    </format>
    <format dxfId="106">
      <pivotArea outline="0" collapsedLevelsAreSubtotals="1" fieldPosition="0"/>
    </format>
    <format dxfId="105">
      <pivotArea type="origin" dataOnly="0" labelOnly="1" outline="0" fieldPosition="0"/>
    </format>
    <format dxfId="104">
      <pivotArea field="5" type="button" dataOnly="0" labelOnly="1" outline="0" axis="axisCol" fieldPosition="0"/>
    </format>
    <format dxfId="103">
      <pivotArea type="topRight" dataOnly="0" labelOnly="1" outline="0" fieldPosition="0"/>
    </format>
    <format dxfId="102">
      <pivotArea field="2" type="button" dataOnly="0" labelOnly="1" outline="0" axis="axisRow" fieldPosition="0"/>
    </format>
    <format dxfId="101">
      <pivotArea dataOnly="0" labelOnly="1" fieldPosition="0">
        <references count="1">
          <reference field="2" count="0"/>
        </references>
      </pivotArea>
    </format>
    <format dxfId="100">
      <pivotArea dataOnly="0" labelOnly="1" grandRow="1" outline="0" fieldPosition="0"/>
    </format>
    <format dxfId="99">
      <pivotArea dataOnly="0" labelOnly="1" grandCol="1" outline="0" fieldPosition="0"/>
    </format>
    <format dxfId="98">
      <pivotArea type="all" dataOnly="0" outline="0" fieldPosition="0"/>
    </format>
    <format dxfId="97">
      <pivotArea outline="0" collapsedLevelsAreSubtotals="1" fieldPosition="0"/>
    </format>
    <format dxfId="96">
      <pivotArea type="origin" dataOnly="0" labelOnly="1" outline="0" fieldPosition="0"/>
    </format>
    <format dxfId="95">
      <pivotArea field="5" type="button" dataOnly="0" labelOnly="1" outline="0" axis="axisCol" fieldPosition="0"/>
    </format>
    <format dxfId="94">
      <pivotArea type="topRight" dataOnly="0" labelOnly="1" outline="0" fieldPosition="0"/>
    </format>
    <format dxfId="93">
      <pivotArea field="2" type="button" dataOnly="0" labelOnly="1" outline="0" axis="axisRow" fieldPosition="0"/>
    </format>
    <format dxfId="92">
      <pivotArea dataOnly="0" labelOnly="1" fieldPosition="0">
        <references count="1">
          <reference field="2" count="0"/>
        </references>
      </pivotArea>
    </format>
    <format dxfId="91">
      <pivotArea dataOnly="0" labelOnly="1" grandRow="1" outline="0" fieldPosition="0"/>
    </format>
    <format dxfId="90">
      <pivotArea dataOnly="0" labelOnly="1" grandCol="1" outline="0" fieldPosition="0"/>
    </format>
    <format dxfId="89">
      <pivotArea type="all" dataOnly="0" outline="0" fieldPosition="0"/>
    </format>
    <format dxfId="88">
      <pivotArea outline="0" collapsedLevelsAreSubtotals="1" fieldPosition="0"/>
    </format>
    <format dxfId="87">
      <pivotArea type="origin" dataOnly="0" labelOnly="1" outline="0" fieldPosition="0"/>
    </format>
    <format dxfId="86">
      <pivotArea field="5" type="button" dataOnly="0" labelOnly="1" outline="0" axis="axisCol" fieldPosition="0"/>
    </format>
    <format dxfId="85">
      <pivotArea type="topRight" dataOnly="0" labelOnly="1" outline="0" fieldPosition="0"/>
    </format>
    <format dxfId="84">
      <pivotArea field="2" type="button" dataOnly="0" labelOnly="1" outline="0" axis="axisRow" fieldPosition="0"/>
    </format>
    <format dxfId="83">
      <pivotArea dataOnly="0" labelOnly="1" fieldPosition="0">
        <references count="1">
          <reference field="2" count="0"/>
        </references>
      </pivotArea>
    </format>
    <format dxfId="82">
      <pivotArea dataOnly="0" labelOnly="1" grandRow="1" outline="0" fieldPosition="0"/>
    </format>
    <format dxfId="81">
      <pivotArea dataOnly="0" labelOnly="1" grandCol="1" outline="0" fieldPosition="0"/>
    </format>
    <format dxfId="80">
      <pivotArea type="all" dataOnly="0" outline="0" fieldPosition="0"/>
    </format>
    <format dxfId="79">
      <pivotArea outline="0" collapsedLevelsAreSubtotals="1" fieldPosition="0"/>
    </format>
    <format dxfId="78">
      <pivotArea type="origin" dataOnly="0" labelOnly="1" outline="0" fieldPosition="0"/>
    </format>
    <format dxfId="77">
      <pivotArea field="5" type="button" dataOnly="0" labelOnly="1" outline="0" axis="axisCol" fieldPosition="0"/>
    </format>
    <format dxfId="76">
      <pivotArea type="topRight" dataOnly="0" labelOnly="1" outline="0" fieldPosition="0"/>
    </format>
    <format dxfId="75">
      <pivotArea field="2" type="button" dataOnly="0" labelOnly="1" outline="0" axis="axisRow" fieldPosition="0"/>
    </format>
    <format dxfId="74">
      <pivotArea dataOnly="0" labelOnly="1" fieldPosition="0">
        <references count="1">
          <reference field="2" count="0"/>
        </references>
      </pivotArea>
    </format>
    <format dxfId="73">
      <pivotArea dataOnly="0" labelOnly="1" grandRow="1" outline="0" fieldPosition="0"/>
    </format>
    <format dxfId="72">
      <pivotArea dataOnly="0" labelOnly="1" grandCol="1" outline="0" fieldPosition="0"/>
    </format>
    <format dxfId="71">
      <pivotArea type="all" dataOnly="0" outline="0" fieldPosition="0"/>
    </format>
    <format dxfId="70">
      <pivotArea outline="0" collapsedLevelsAreSubtotals="1" fieldPosition="0"/>
    </format>
    <format dxfId="69">
      <pivotArea type="origin" dataOnly="0" labelOnly="1" outline="0" fieldPosition="0"/>
    </format>
    <format dxfId="68">
      <pivotArea field="5" type="button" dataOnly="0" labelOnly="1" outline="0" axis="axisCol" fieldPosition="0"/>
    </format>
    <format dxfId="67">
      <pivotArea type="topRight" dataOnly="0" labelOnly="1" outline="0" fieldPosition="0"/>
    </format>
    <format dxfId="66">
      <pivotArea field="2" type="button" dataOnly="0" labelOnly="1" outline="0" axis="axisRow" fieldPosition="0"/>
    </format>
    <format dxfId="65">
      <pivotArea dataOnly="0" labelOnly="1" fieldPosition="0">
        <references count="1">
          <reference field="2" count="0"/>
        </references>
      </pivotArea>
    </format>
    <format dxfId="64">
      <pivotArea dataOnly="0" labelOnly="1" grandRow="1" outline="0" fieldPosition="0"/>
    </format>
    <format dxfId="63">
      <pivotArea dataOnly="0" labelOnly="1" fieldPosition="0">
        <references count="1">
          <reference field="5" count="0"/>
        </references>
      </pivotArea>
    </format>
    <format dxfId="62">
      <pivotArea dataOnly="0" labelOnly="1" grandCol="1" outline="0" fieldPosition="0"/>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5" type="button" dataOnly="0" labelOnly="1" outline="0" axis="axisCol" fieldPosition="0"/>
    </format>
    <format dxfId="57">
      <pivotArea type="topRight" dataOnly="0" labelOnly="1" outline="0" fieldPosition="0"/>
    </format>
    <format dxfId="56">
      <pivotArea field="2" type="button" dataOnly="0" labelOnly="1" outline="0" axis="axisRow" fieldPosition="0"/>
    </format>
    <format dxfId="55">
      <pivotArea dataOnly="0" labelOnly="1" fieldPosition="0">
        <references count="1">
          <reference field="2" count="0"/>
        </references>
      </pivotArea>
    </format>
    <format dxfId="54">
      <pivotArea dataOnly="0" labelOnly="1" grandRow="1" outline="0" fieldPosition="0"/>
    </format>
    <format dxfId="53">
      <pivotArea dataOnly="0" labelOnly="1" fieldPosition="0">
        <references count="1">
          <reference field="5" count="0"/>
        </references>
      </pivotArea>
    </format>
    <format dxfId="52">
      <pivotArea dataOnly="0" labelOnly="1" grandCol="1" outline="0"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5" type="button" dataOnly="0" labelOnly="1" outline="0" axis="axisCol" fieldPosition="0"/>
    </format>
    <format dxfId="47">
      <pivotArea type="topRight" dataOnly="0" labelOnly="1" outline="0" fieldPosition="0"/>
    </format>
    <format dxfId="46">
      <pivotArea field="2" type="button" dataOnly="0" labelOnly="1" outline="0" axis="axisRow" fieldPosition="0"/>
    </format>
    <format dxfId="45">
      <pivotArea dataOnly="0" labelOnly="1" fieldPosition="0">
        <references count="1">
          <reference field="2" count="0"/>
        </references>
      </pivotArea>
    </format>
    <format dxfId="44">
      <pivotArea dataOnly="0" labelOnly="1" grandRow="1" outline="0" fieldPosition="0"/>
    </format>
    <format dxfId="43">
      <pivotArea dataOnly="0" labelOnly="1" fieldPosition="0">
        <references count="1">
          <reference field="5" count="0"/>
        </references>
      </pivotArea>
    </format>
    <format dxfId="42">
      <pivotArea dataOnly="0" labelOnly="1" grandCol="1" outline="0" fieldPosition="0"/>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field="5" type="button" dataOnly="0" labelOnly="1" outline="0" axis="axisCol" fieldPosition="0"/>
    </format>
    <format dxfId="37">
      <pivotArea type="topRight" dataOnly="0" labelOnly="1" outline="0" fieldPosition="0"/>
    </format>
    <format dxfId="36">
      <pivotArea field="2" type="button" dataOnly="0" labelOnly="1" outline="0" axis="axisRow" fieldPosition="0"/>
    </format>
    <format dxfId="35">
      <pivotArea dataOnly="0" labelOnly="1" fieldPosition="0">
        <references count="1">
          <reference field="2" count="0"/>
        </references>
      </pivotArea>
    </format>
    <format dxfId="34">
      <pivotArea dataOnly="0" labelOnly="1" grandRow="1" outline="0" fieldPosition="0"/>
    </format>
    <format dxfId="33">
      <pivotArea dataOnly="0" labelOnly="1" fieldPosition="0">
        <references count="1">
          <reference field="5" count="0"/>
        </references>
      </pivotArea>
    </format>
    <format dxfId="32">
      <pivotArea dataOnly="0" labelOnly="1" grandCol="1" outline="0" fieldPosition="0"/>
    </format>
  </formats>
  <chartFormats count="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5" count="1" selected="0">
            <x v="1"/>
          </reference>
        </references>
      </pivotArea>
    </chartFormat>
    <chartFormat chart="0" format="4" series="1">
      <pivotArea type="data" outline="0" fieldPosition="0">
        <references count="2">
          <reference field="4294967294" count="1" selected="0">
            <x v="0"/>
          </reference>
          <reference field="5" count="1" selected="0">
            <x v="0"/>
          </reference>
        </references>
      </pivotArea>
    </chartFormat>
    <chartFormat chart="0" format="5" series="1">
      <pivotArea type="data" outline="0" fieldPosition="0">
        <references count="2">
          <reference field="4294967294" count="1" selected="0">
            <x v="0"/>
          </reference>
          <reference field="5" count="1" selected="0">
            <x v="2"/>
          </reference>
        </references>
      </pivotArea>
    </chartFormat>
    <chartFormat chart="0" format="6"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42DE8A-8E34-4A9F-8750-C5DBE19CB75F}"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colHeaderCaption="FEES DETAIL">
  <location ref="F5:H7" firstHeaderRow="1" firstDataRow="2" firstDataCol="1"/>
  <pivotFields count="9">
    <pivotField showAll="0"/>
    <pivotField showAll="0"/>
    <pivotField showAll="0"/>
    <pivotField showAll="0"/>
    <pivotField dataField="1" showAll="0">
      <items count="16">
        <item x="2"/>
        <item x="12"/>
        <item x="0"/>
        <item x="6"/>
        <item x="9"/>
        <item x="11"/>
        <item x="1"/>
        <item x="8"/>
        <item x="13"/>
        <item x="5"/>
        <item x="3"/>
        <item x="4"/>
        <item x="10"/>
        <item x="7"/>
        <item h="1" x="14"/>
        <item t="default"/>
      </items>
    </pivotField>
    <pivotField axis="axisCol" showAll="0">
      <items count="5">
        <item h="1" x="0"/>
        <item h="1" m="1" x="3"/>
        <item x="1"/>
        <item h="1" x="2"/>
        <item t="default"/>
      </items>
    </pivotField>
    <pivotField showAll="0"/>
    <pivotField showAll="0"/>
    <pivotField showAll="0"/>
  </pivotFields>
  <rowItems count="1">
    <i/>
  </rowItems>
  <colFields count="1">
    <field x="5"/>
  </colFields>
  <colItems count="2">
    <i>
      <x v="2"/>
    </i>
    <i t="grand">
      <x/>
    </i>
  </colItems>
  <dataFields count="1">
    <dataField name="Sum of MONTHLY FEES" fld="4"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0"/>
          </reference>
        </references>
      </pivotArea>
    </chartFormat>
    <chartFormat chart="3" format="4">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2"/>
          </reference>
        </references>
      </pivotArea>
    </chartFormat>
    <chartFormat chart="0" format="1" series="1">
      <pivotArea type="data" outline="0" fieldPosition="0">
        <references count="2">
          <reference field="4294967294" count="1" selected="0">
            <x v="0"/>
          </reference>
          <reference field="5" count="1" selected="0">
            <x v="2"/>
          </reference>
        </references>
      </pivotArea>
    </chartFormat>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2"/>
          </reference>
        </references>
      </pivotArea>
    </chartFormat>
    <chartFormat chart="7" format="4" series="1">
      <pivotArea type="data" outline="0" fieldPosition="0">
        <references count="2">
          <reference field="4294967294" count="1" selected="0">
            <x v="0"/>
          </reference>
          <reference field="5" count="1" selected="0">
            <x v="0"/>
          </reference>
        </references>
      </pivotArea>
    </chartFormat>
    <chartFormat chart="7" format="5" series="1">
      <pivotArea type="data" outline="0" fieldPosition="0">
        <references count="2">
          <reference field="4294967294" count="1" selected="0">
            <x v="0"/>
          </reference>
          <reference field="5" count="1" selected="0">
            <x v="2"/>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NDARD" xr10:uid="{F39B999C-479D-4C24-BB44-17F7A38431AB}" sourceName="STANDARD ">
  <pivotTables>
    <pivotTable tabId="15" name="PivotTable1"/>
  </pivotTables>
  <data>
    <tabular pivotCacheId="353185081">
      <items count="12">
        <i x="0" s="1"/>
        <i x="6" s="1"/>
        <i x="2" s="1"/>
        <i x="9" s="1"/>
        <i x="8" s="1"/>
        <i x="1" s="1"/>
        <i x="7"/>
        <i x="5"/>
        <i x="3"/>
        <i x="4"/>
        <i x="10"/>
        <i x="1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FEES" xr10:uid="{37501D29-A972-44AD-8698-1A4A50725ECA}" sourceName="MONTHLY FEES">
  <pivotTables>
    <pivotTable tabId="15" name="PivotTable7"/>
  </pivotTables>
  <data>
    <tabular pivotCacheId="353185081">
      <items count="15">
        <i x="0" s="1"/>
        <i x="6" s="1"/>
        <i x="8" s="1"/>
        <i x="3" s="1"/>
        <i x="7" s="1"/>
        <i x="2" s="1" nd="1"/>
        <i x="12" s="1" nd="1"/>
        <i x="9" s="1" nd="1"/>
        <i x="11" s="1" nd="1"/>
        <i x="1" s="1" nd="1"/>
        <i x="13" s="1" nd="1"/>
        <i x="5" s="1" nd="1"/>
        <i x="4" s="1" nd="1"/>
        <i x="10" s="1" nd="1"/>
        <i x="1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B499A90-98EC-4DD0-B43C-97692D4A023F}" sourceName="STATUS">
  <pivotTables>
    <pivotTable tabId="15" name="PivotTable7"/>
  </pivotTables>
  <data>
    <tabular pivotCacheId="353185081">
      <items count="4">
        <i x="0"/>
        <i x="1" s="1"/>
        <i x="3"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ULY" xr10:uid="{40EA5D0A-9F55-4BDB-95BA-E370F9D3BF65}" sourceName="JULY">
  <pivotTables>
    <pivotTable tabId="15" name="PivotTable3"/>
  </pivotTables>
  <data>
    <tabular pivotCacheId="891674976">
      <items count="5">
        <i x="2"/>
        <i x="3"/>
        <i x="0" s="1"/>
        <i x="1"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NDARD " xr10:uid="{A6A01BBA-AD25-4D45-902A-D03F058BCC12}" cache="Slicer_STANDARD" caption="STANDARD " rowHeight="241300"/>
  <slicer name="MONTHLY FEES" xr10:uid="{2FD3EC50-EF98-49A2-8F4E-CBF2F5404675}" cache="Slicer_MONTHLY_FEES" caption="MONTHLY FEES" rowHeight="241300"/>
  <slicer name="STATUS" xr10:uid="{9699123D-F4B5-4985-A9DF-24DB803F37DB}" cache="Slicer_STATUS" caption="STATUS" rowHeight="241300"/>
  <slicer name="JULY" xr10:uid="{A2115608-9A82-4272-86BA-98CB463F1C96}" cache="Slicer_JULY" caption="JULY"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241E2F-B3A9-41E4-9AB3-9963BB3B40B1}" name="Table1" displayName="Table1" ref="A7:I117" headerRowDxfId="281" dataDxfId="279" totalsRowDxfId="277" headerRowBorderDxfId="280" tableBorderDxfId="278">
  <autoFilter ref="A7:I117" xr:uid="{23241E2F-B3A9-41E4-9AB3-9963BB3B40B1}"/>
  <tableColumns count="9">
    <tableColumn id="1" xr3:uid="{B24F3391-E9D8-4617-8B41-030C8DD07D57}" name="SR. NO. " totalsRowLabel="Total" dataDxfId="276">
      <calculatedColumnFormula>ROW()-7</calculatedColumnFormula>
    </tableColumn>
    <tableColumn id="2" xr3:uid="{3F9A50EC-2495-464E-9D83-65D39D3ACC68}" name="STUDENT NAME" dataDxfId="275">
      <calculatedColumnFormula>"Student "&amp;(ROW()-7)</calculatedColumnFormula>
    </tableColumn>
    <tableColumn id="3" xr3:uid="{3F5286B6-9F93-4468-A63E-8B9BB771886D}" name="STANDARD " dataDxfId="274"/>
    <tableColumn id="4" xr3:uid="{A044D6DA-40D4-4934-A9F3-A3E26EDECB2A}" name="CONTACT " dataDxfId="273"/>
    <tableColumn id="5" xr3:uid="{00EC7A1A-9266-42D2-BF3A-7B5C1ED09F8D}" name="MONTHLY FEES" dataDxfId="272" dataCellStyle="Currency"/>
    <tableColumn id="6" xr3:uid="{1F9FB001-2ACC-4593-8A02-E1CCF6BFC1DF}" name="STATUS" totalsRowFunction="count" dataDxfId="271"/>
    <tableColumn id="7" xr3:uid="{BF427C88-57C6-438C-9A1C-3E96D5B7FE00}" name="ADMISSION DATE" dataDxfId="270"/>
    <tableColumn id="15" xr3:uid="{BBF41ECA-A58F-4826-A5F7-6007C9CCEB63}" name="LEAVE DATE" dataDxfId="269"/>
    <tableColumn id="10" xr3:uid="{2CC8685F-91E7-4A0A-BE44-9BF3C77753F1}" name="MOR/EVE" dataDxfId="268"/>
  </tableColumns>
  <tableStyleInfo name="TableStyleDark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ABC137-D480-4D57-8E8D-7AC1762B0E58}" name="Table6" displayName="Table6" ref="A6:T116" totalsRowShown="0" headerRowDxfId="264" dataDxfId="263">
  <autoFilter ref="A6:T116" xr:uid="{DAABC137-D480-4D57-8E8D-7AC1762B0E58}"/>
  <tableColumns count="20">
    <tableColumn id="1" xr3:uid="{C0D11188-2EF1-43C2-B12C-DFA4FD18BF9F}" name="SR.NO." dataDxfId="262">
      <calculatedColumnFormula>ROW()-6</calculatedColumnFormula>
    </tableColumn>
    <tableColumn id="2" xr3:uid="{CE721364-24C9-4DFC-841E-BC3EFEB3A488}" name="NAME" dataDxfId="261"/>
    <tableColumn id="3" xr3:uid="{4EB75550-66E1-49F6-B219-540B4991E6AE}" name="STD" dataDxfId="260">
      <calculatedColumnFormula>'All Names'!C8</calculatedColumnFormula>
    </tableColumn>
    <tableColumn id="4" xr3:uid="{E8105CB1-394A-4606-AEB6-723425163DBB}" name="FEES AMOUNT" dataDxfId="259" dataCellStyle="Currency">
      <calculatedColumnFormula>'All Names'!E8</calculatedColumnFormula>
    </tableColumn>
    <tableColumn id="5" xr3:uid="{FE9CEC6F-E6C2-49D8-A9F4-395CD568611F}" name="JUNE" dataDxfId="258"/>
    <tableColumn id="6" xr3:uid="{91D871E4-27D3-4172-8CC2-06787FF9ADA6}" name="JULY" dataDxfId="257"/>
    <tableColumn id="7" xr3:uid="{819D8E5E-0E6A-4C5E-BFF6-F1537241D2D4}" name="AUGUST" dataDxfId="256"/>
    <tableColumn id="8" xr3:uid="{7099043F-D13B-487E-BA99-2665287B6A33}" name="SEPTEMBER" dataDxfId="255"/>
    <tableColumn id="9" xr3:uid="{6601F2FE-96B1-47E2-BF39-CDDBB28A39B2}" name="OCTOBER" dataDxfId="254"/>
    <tableColumn id="10" xr3:uid="{A19A5FC1-8853-4BCA-A695-F9BCFAC5A011}" name="NOVEMBER" dataDxfId="253"/>
    <tableColumn id="11" xr3:uid="{B9CE5FA0-68CB-4606-8BB9-9256D149D9C4}" name="DECEMBER" dataDxfId="252"/>
    <tableColumn id="12" xr3:uid="{79BDF926-92BE-4B25-9A34-57DD7667EBDD}" name="JANUARY" dataDxfId="251"/>
    <tableColumn id="13" xr3:uid="{73B54F51-2CFC-478B-9D60-EE40BD7D138E}" name="FEBRUARY" dataDxfId="250"/>
    <tableColumn id="14" xr3:uid="{424C96CF-5378-43EE-8F55-FD0777D16CA0}" name="MARCH" dataDxfId="249"/>
    <tableColumn id="15" xr3:uid="{EC9F3A46-65AE-476C-AC09-FD53CCA32C4F}" name="APRIL" dataDxfId="248"/>
    <tableColumn id="16" xr3:uid="{BC032010-C61D-4E04-836D-95D7BD427752}" name="MAY" dataDxfId="247"/>
    <tableColumn id="17" xr3:uid="{43943928-BD90-49DF-923F-CB8BF9652CC3}" name="TMFP" dataDxfId="246">
      <calculatedColumnFormula>COUNTIF(E7:P7,"PAID")</calculatedColumnFormula>
    </tableColumn>
    <tableColumn id="18" xr3:uid="{ACD453A0-9BA1-4EC8-9952-5E34563F3DEC}" name="TPFA" dataDxfId="245">
      <calculatedColumnFormula>D7*Q7</calculatedColumnFormula>
    </tableColumn>
    <tableColumn id="19" xr3:uid="{DB74E2DC-E202-4EED-BCED-1964ED685B4F}" name="TMUPF" dataDxfId="244">
      <calculatedColumnFormula>COUNTIF(E7:P7,"UNPAID")</calculatedColumnFormula>
    </tableColumn>
    <tableColumn id="20" xr3:uid="{31FA3AA6-11F7-4453-B3FE-7F66EAC30191}" name="TUPFA" dataDxfId="243">
      <calculatedColumnFormula>D7*S7</calculatedColumnFormula>
    </tableColumn>
  </tableColumns>
  <tableStyleInfo name="TableStyleDark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5D6964-8A3D-4B08-8AF5-FC7A24618FE7}" name="Table3" displayName="Table3" ref="A7:G22" totalsRowShown="0" headerRowDxfId="240" dataDxfId="238" headerRowBorderDxfId="239" tableBorderDxfId="237" totalsRowBorderDxfId="236">
  <autoFilter ref="A7:G22" xr:uid="{5E5D6964-8A3D-4B08-8AF5-FC7A24618FE7}"/>
  <tableColumns count="7">
    <tableColumn id="1" xr3:uid="{D4753D4B-9675-4B13-86D0-DB8A419558C1}" name="SR.NO." dataDxfId="235">
      <calculatedColumnFormula>ROW()-7</calculatedColumnFormula>
    </tableColumn>
    <tableColumn id="2" xr3:uid="{C2CDE590-6779-4C9D-ADEE-8CC639EB9745}" name="NAME" dataDxfId="234"/>
    <tableColumn id="3" xr3:uid="{F84EABD8-FC3C-42D1-B71C-0656B7993421}" name="FEES" dataDxfId="233"/>
    <tableColumn id="4" xr3:uid="{37BE8AF1-E745-4C58-8426-B5F43BB701D5}" name="DUE DATE" dataDxfId="232"/>
    <tableColumn id="7" xr3:uid="{A9B0A03E-E1F4-435B-84DE-82A528EC9229}" name="PAID DATE" dataDxfId="231"/>
    <tableColumn id="5" xr3:uid="{0919F371-75E3-40B1-A2A1-A4E1632FE544}" name="STATUS" dataDxfId="230"/>
    <tableColumn id="6" xr3:uid="{43480EC6-F90D-436A-834A-4313F4A535E4}" name="PAYMENT MODE" dataDxfId="229"/>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9CD24D-7961-4F82-9B2D-D38B7B260182}" name="Table36" displayName="Table36" ref="A28:G65" totalsRowShown="0" headerRowDxfId="228" dataDxfId="226" headerRowBorderDxfId="227" tableBorderDxfId="225" totalsRowBorderDxfId="224">
  <autoFilter ref="A28:G65" xr:uid="{839CD24D-7961-4F82-9B2D-D38B7B260182}"/>
  <tableColumns count="7">
    <tableColumn id="1" xr3:uid="{C9C78A6E-854B-4371-8B86-FE13B5F3FCB2}" name="SR.NO." dataDxfId="223">
      <calculatedColumnFormula>ROW()-28</calculatedColumnFormula>
    </tableColumn>
    <tableColumn id="2" xr3:uid="{929F50B0-477B-4A38-A745-8AB7A11078AE}" name="NAME" dataDxfId="222"/>
    <tableColumn id="3" xr3:uid="{49DA0C01-80D1-4716-A023-2F68849F435D}" name="FEES" dataDxfId="221"/>
    <tableColumn id="7" xr3:uid="{B4E34AAA-1B70-4746-AE3A-3F214053B47D}" name="DUE DATE" dataDxfId="220"/>
    <tableColumn id="4" xr3:uid="{BE46675A-F055-4427-B225-E3905DA2C56E}" name="PAID DATE" dataDxfId="219"/>
    <tableColumn id="5" xr3:uid="{3D200753-9D2D-4561-810D-85BB151F453B}" name="STATUS" dataDxfId="218"/>
    <tableColumn id="6" xr3:uid="{64544DF9-9F48-4369-9242-444D8525FE31}" name="PAYMENT MODE" dataDxfId="217"/>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61603C-7253-400A-9102-F3AEB49EED6F}" name="Table3612" displayName="Table3612" ref="A71:G112" totalsRowShown="0" headerRowDxfId="216" dataDxfId="214" headerRowBorderDxfId="215" tableBorderDxfId="213" totalsRowBorderDxfId="212">
  <autoFilter ref="A71:G112" xr:uid="{F561603C-7253-400A-9102-F3AEB49EED6F}"/>
  <tableColumns count="7">
    <tableColumn id="1" xr3:uid="{60411981-4D21-4993-BE6E-2105C6795295}" name="SR.NO." dataDxfId="211">
      <calculatedColumnFormula>ROW()-71</calculatedColumnFormula>
    </tableColumn>
    <tableColumn id="2" xr3:uid="{EC4074B6-5D93-491E-BBEA-8DFE43C04844}" name="NAME" dataDxfId="210">
      <calculatedColumnFormula>'Regular Fees '!B7</calculatedColumnFormula>
    </tableColumn>
    <tableColumn id="3" xr3:uid="{23B27FA9-944B-43CE-B82A-0E5FEA973E4A}" name="FEES" dataDxfId="209">
      <calculatedColumnFormula>IF(COUNTIF('Regular Fees '!$B:$B,$B$72)=0,"",SUMIF('Regular Fees '!$B:$B,B72,'Regular Fees '!$D:$D))</calculatedColumnFormula>
    </tableColumn>
    <tableColumn id="7" xr3:uid="{35F9579B-09E5-4241-93D6-DA567A3B6FC9}" name="DUE DATE" dataDxfId="208"/>
    <tableColumn id="4" xr3:uid="{D748E33A-55A4-488E-BDDB-A714206E0893}" name="PAID DATE" dataDxfId="207"/>
    <tableColumn id="5" xr3:uid="{79E424D9-8078-4310-8907-03A87676DE3C}" name="STATUS" dataDxfId="206"/>
    <tableColumn id="6" xr3:uid="{A9395E1A-E3D3-4C3A-90A6-D72538A73077}" name="PAYMENT MODE" dataDxfId="205"/>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B55FF7D-22DD-4D82-A264-9807F04281E3}" name="Table7" displayName="Table7" ref="A7:F22" totalsRowShown="0" headerRowDxfId="202" dataDxfId="200" headerRowBorderDxfId="201" tableBorderDxfId="199" totalsRowBorderDxfId="198">
  <autoFilter ref="A7:F22" xr:uid="{FB55FF7D-22DD-4D82-A264-9807F04281E3}"/>
  <tableColumns count="6">
    <tableColumn id="1" xr3:uid="{08174E18-D85D-41A1-A168-9F0BEC18A931}" name="SR. NO." dataDxfId="197">
      <calculatedColumnFormula>ROW()-7</calculatedColumnFormula>
    </tableColumn>
    <tableColumn id="2" xr3:uid="{A516463C-C837-4497-AC86-9322734A166C}" name="NAME " dataDxfId="196"/>
    <tableColumn id="3" xr3:uid="{93156D85-A7CB-4A5A-9A82-52EB7903FD15}" name="STD" dataDxfId="195"/>
    <tableColumn id="4" xr3:uid="{A6E3A2CF-D7AA-451B-B585-6D8575D26697}" name="TOTAL MARKS " dataDxfId="194"/>
    <tableColumn id="5" xr3:uid="{30A32423-C27E-4398-8EEF-415099942854}" name="MARKS OBT." dataDxfId="193"/>
    <tableColumn id="6" xr3:uid="{E0C9E2DF-D6BE-494F-82A5-FEC6629EE9C4}" name="PERCENTAGE" dataDxfId="192">
      <calculatedColumnFormula>IFERROR(Table7[[#This Row],[MARKS OBT.]]/Table7[[#This Row],[TOTAL MARKS ]],"")</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B83294-ED12-44C0-95CD-92167280FE85}" name="Table78" displayName="Table78" ref="A27:F42" totalsRowShown="0" headerRowDxfId="191" dataDxfId="189" headerRowBorderDxfId="190" tableBorderDxfId="188" totalsRowBorderDxfId="187">
  <autoFilter ref="A27:F42" xr:uid="{84B83294-ED12-44C0-95CD-92167280FE85}"/>
  <tableColumns count="6">
    <tableColumn id="1" xr3:uid="{3EAA71EF-2A5F-46EE-A4E6-09EC9641A38D}" name="SR. NO." dataDxfId="186">
      <calculatedColumnFormula>ROW()-27</calculatedColumnFormula>
    </tableColumn>
    <tableColumn id="2" xr3:uid="{2436C150-C6A8-49A9-9F52-41A2AE136ABF}" name="NAME " dataDxfId="185"/>
    <tableColumn id="3" xr3:uid="{9DA3855A-1FD3-4A29-994E-8EE82B660630}" name="STD" dataDxfId="184"/>
    <tableColumn id="4" xr3:uid="{1BEC15D2-1266-4DC3-AFD0-29A84F404EF0}" name="TOTAL MARKS " dataDxfId="183"/>
    <tableColumn id="5" xr3:uid="{35EA5D39-F3FD-4530-B2EC-41F23F3B51B0}" name="MARKS OBT." dataDxfId="182"/>
    <tableColumn id="6" xr3:uid="{C44F4ED6-7B6F-4477-895F-54AFCCD8D17A}" name="PERCENTAGE" dataDxfId="181">
      <calculatedColumnFormula>IFERROR(Table78[[#This Row],[MARKS OBT.]]/Table78[[#This Row],[TOTAL MARKS ]],"")</calculatedColumnFormula>
    </tableColumn>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F0BA9DB-329C-4124-8A17-7DB6B293EA77}" name="Table789" displayName="Table789" ref="A47:F62" totalsRowShown="0" headerRowDxfId="180" dataDxfId="178" headerRowBorderDxfId="179" tableBorderDxfId="177" totalsRowBorderDxfId="176">
  <autoFilter ref="A47:F62" xr:uid="{CF0BA9DB-329C-4124-8A17-7DB6B293EA77}"/>
  <tableColumns count="6">
    <tableColumn id="1" xr3:uid="{99D8B2D7-AC26-4EB4-9A60-E57352EA85AF}" name="SR. NO." dataDxfId="175">
      <calculatedColumnFormula>ROW()-47</calculatedColumnFormula>
    </tableColumn>
    <tableColumn id="2" xr3:uid="{F4B3D0CA-AA61-452A-9110-A315B249B9A2}" name="NAME " dataDxfId="174"/>
    <tableColumn id="3" xr3:uid="{17BAF534-FFD6-4E0D-8CC2-2859D9EBF7D6}" name="STD" dataDxfId="173"/>
    <tableColumn id="4" xr3:uid="{5873B620-8A9D-4B89-8FC3-0BDFEDAFE5B7}" name="TOTAL MARKS " dataDxfId="172"/>
    <tableColumn id="5" xr3:uid="{65CBD4BB-E955-4ABF-92EB-747EE975D8BC}" name="MARKS OBT." dataDxfId="171"/>
    <tableColumn id="6" xr3:uid="{1CCAE97C-B5FB-420C-B73D-3487C7CA261E}" name="PERCENTAGE" dataDxfId="170">
      <calculatedColumnFormula>IFERROR(Table789[[#This Row],[MARKS OBT.]]/Table789[[#This Row],[TOTAL MARKS ]],"")</calculatedColumnFormula>
    </tableColumn>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BE16C2-4E00-4AD1-AD14-0091D1DAF082}" name="Table7895" displayName="Table7895" ref="A67:F82" totalsRowShown="0" headerRowDxfId="169" dataDxfId="167" headerRowBorderDxfId="168" tableBorderDxfId="166" totalsRowBorderDxfId="165">
  <autoFilter ref="A67:F82" xr:uid="{66BE16C2-4E00-4AD1-AD14-0091D1DAF082}"/>
  <tableColumns count="6">
    <tableColumn id="1" xr3:uid="{A8473B61-AB30-4725-A536-79FD71EC96B6}" name="SR. NO." dataDxfId="164">
      <calculatedColumnFormula>ROW()-67</calculatedColumnFormula>
    </tableColumn>
    <tableColumn id="2" xr3:uid="{18C4AF7F-A9CE-4849-98D0-F6C429B02374}" name="NAME " dataDxfId="163"/>
    <tableColumn id="3" xr3:uid="{4FCBF65E-EE34-4935-9575-2746B59045C4}" name="STD" dataDxfId="162"/>
    <tableColumn id="4" xr3:uid="{232E0B9B-8C3B-4420-9406-49E3C8384173}" name="TOTAL MARKS " dataDxfId="161"/>
    <tableColumn id="5" xr3:uid="{5039D1A7-1A07-4ECF-B94E-9A57E9DB4BD3}" name="MARKS OBT." dataDxfId="160"/>
    <tableColumn id="6" xr3:uid="{2697B59B-B60B-4A06-B896-D8DA7151FF59}" name="PERCENTAGE" dataDxfId="159">
      <calculatedColumnFormula>IFERROR(Table7895[[#This Row],[MARKS OBT.]]/Table7895[[#This Row],[TOTAL MARKS ]],"")</calculatedColumnFormula>
    </tableColumn>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5767EE8-009E-4104-BCC2-74A62BF0F07C}" name="Table9" displayName="Table9" ref="A5:M20" totalsRowShown="0" headerRowDxfId="158" dataDxfId="156" headerRowBorderDxfId="157" tableBorderDxfId="155" totalsRowBorderDxfId="154">
  <autoFilter ref="A5:M20" xr:uid="{85767EE8-009E-4104-BCC2-74A62BF0F07C}"/>
  <tableColumns count="13">
    <tableColumn id="1" xr3:uid="{7185BF13-9765-4D3A-9712-2689AAB24D19}" name="SR.NO." dataDxfId="153">
      <calculatedColumnFormula>ROW()-5</calculatedColumnFormula>
    </tableColumn>
    <tableColumn id="2" xr3:uid="{26182D1C-B270-41F2-BAED-837B7FCE2A22}" name="NAME" dataDxfId="152">
      <calculatedColumnFormula>'Maths Test'!B8</calculatedColumnFormula>
    </tableColumn>
    <tableColumn id="3" xr3:uid="{B3EBE755-0428-4A8E-BE3E-BE3AF684A523}" name="TEST 01" dataDxfId="151">
      <calculatedColumnFormula>'Maths Test'!F8</calculatedColumnFormula>
    </tableColumn>
    <tableColumn id="4" xr3:uid="{221E3ABE-8A58-4626-A040-255F1665B7F3}" name="TEST 02" dataDxfId="150">
      <calculatedColumnFormula>'Maths Test'!F28</calculatedColumnFormula>
    </tableColumn>
    <tableColumn id="5" xr3:uid="{4B1497D6-72F1-4145-B2FE-25D0A969EAAE}" name="TEST 03" dataDxfId="149">
      <calculatedColumnFormula>'Maths Test'!F48</calculatedColumnFormula>
    </tableColumn>
    <tableColumn id="6" xr3:uid="{F3D6165A-A4A9-44EC-815F-223A7A13841B}" name="TEST 04" dataDxfId="148"/>
    <tableColumn id="7" xr3:uid="{5D212D58-676D-42D7-9A31-6A5E07FA839D}" name="TEST 05" dataDxfId="147"/>
    <tableColumn id="8" xr3:uid="{EEB39FEA-9E91-494D-9064-2EC86A7C80A1}" name="TEST 06" dataDxfId="146"/>
    <tableColumn id="9" xr3:uid="{56041EA7-3F7E-47C4-A1C4-56199831A821}" name="TEST 07" dataDxfId="145"/>
    <tableColumn id="10" xr3:uid="{4EA624F4-861B-431E-9869-44A16B4652D0}" name="TEST 08" dataDxfId="144"/>
    <tableColumn id="11" xr3:uid="{3076051C-65D3-4A5E-B04F-2DF8E8C2AB3E}" name="TEST 09" dataDxfId="143"/>
    <tableColumn id="12" xr3:uid="{395EADCC-1350-42CA-B3BC-6F058F3107CA}" name="TEST 10" dataDxfId="142"/>
    <tableColumn id="13" xr3:uid="{6C20C9F1-32F2-4F01-B8A0-CD2E36D1FC06}" name="OVERALL %" dataDxfId="141">
      <calculatedColumnFormula>IFERROR(AVERAGE(Table9[[#This Row],[TEST 01]:[TEST 10]]),"")</calculatedColumnFormula>
    </tableColumn>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7.bin"/><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9.bin"/><Relationship Id="rId5" Type="http://schemas.openxmlformats.org/officeDocument/2006/relationships/table" Target="../tables/table9.xm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68F9F-488A-49BB-A0FF-DA961D30E8B2}">
  <sheetPr>
    <tabColor rgb="FF00B050"/>
  </sheetPr>
  <dimension ref="A1"/>
  <sheetViews>
    <sheetView showGridLines="0" showRowColHeaders="0" zoomScale="140" zoomScaleNormal="140" workbookViewId="0">
      <selection activeCell="E18" sqref="E18"/>
    </sheetView>
  </sheetViews>
  <sheetFormatPr defaultColWidth="9.140625" defaultRowHeight="15.75"/>
  <cols>
    <col min="1" max="16384" width="9.140625" style="137"/>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CB76-2670-4D8C-A7A6-6E8DD67EB8F9}">
  <sheetPr codeName="Sheet2">
    <tabColor rgb="FF00B050"/>
  </sheetPr>
  <dimension ref="B1:P35"/>
  <sheetViews>
    <sheetView showGridLines="0" showRowColHeaders="0" tabSelected="1" zoomScale="80" zoomScaleNormal="80" workbookViewId="0">
      <selection activeCell="B2" sqref="B2:P2"/>
    </sheetView>
  </sheetViews>
  <sheetFormatPr defaultColWidth="9.140625" defaultRowHeight="15.75"/>
  <cols>
    <col min="1" max="1" width="3.7109375" style="9" customWidth="1"/>
    <col min="2" max="16" width="14.7109375" style="9" customWidth="1"/>
    <col min="17" max="16384" width="9.140625" style="9"/>
  </cols>
  <sheetData>
    <row r="1" spans="2:16" ht="8.1" customHeight="1" thickBot="1"/>
    <row r="2" spans="2:16" ht="34.5" customHeight="1" thickBot="1">
      <c r="B2" s="138" t="s">
        <v>311</v>
      </c>
      <c r="C2" s="139"/>
      <c r="D2" s="139"/>
      <c r="E2" s="139"/>
      <c r="F2" s="139"/>
      <c r="G2" s="139"/>
      <c r="H2" s="139"/>
      <c r="I2" s="139"/>
      <c r="J2" s="139"/>
      <c r="K2" s="139"/>
      <c r="L2" s="139"/>
      <c r="M2" s="139"/>
      <c r="N2" s="139"/>
      <c r="O2" s="139"/>
      <c r="P2" s="140"/>
    </row>
    <row r="3" spans="2:16" ht="15" customHeight="1" thickBot="1"/>
    <row r="4" spans="2:16" ht="24.95" customHeight="1">
      <c r="B4" s="147" t="s">
        <v>363</v>
      </c>
      <c r="C4" s="148"/>
      <c r="D4" s="149"/>
      <c r="F4" s="150" t="s">
        <v>302</v>
      </c>
      <c r="G4" s="151"/>
      <c r="H4" s="152"/>
      <c r="J4" s="159" t="s">
        <v>303</v>
      </c>
      <c r="K4" s="160"/>
      <c r="L4" s="161"/>
      <c r="N4" s="174" t="s">
        <v>304</v>
      </c>
      <c r="O4" s="175"/>
      <c r="P4" s="176"/>
    </row>
    <row r="5" spans="2:16" ht="24.95" customHeight="1">
      <c r="B5" s="141">
        <f>Dashboard_2!I19</f>
        <v>63</v>
      </c>
      <c r="C5" s="142"/>
      <c r="D5" s="143"/>
      <c r="F5" s="153">
        <f>Dashboard_2!G19</f>
        <v>58</v>
      </c>
      <c r="G5" s="154"/>
      <c r="H5" s="155"/>
      <c r="J5" s="162">
        <f>Dashboard_2!F19</f>
        <v>5</v>
      </c>
      <c r="K5" s="163"/>
      <c r="L5" s="164"/>
      <c r="N5" s="177">
        <f>Dashboard_2!H19</f>
        <v>0</v>
      </c>
      <c r="O5" s="178"/>
      <c r="P5" s="179"/>
    </row>
    <row r="6" spans="2:16" ht="24.95" customHeight="1">
      <c r="B6" s="141"/>
      <c r="C6" s="142"/>
      <c r="D6" s="143"/>
      <c r="F6" s="153"/>
      <c r="G6" s="154"/>
      <c r="H6" s="155"/>
      <c r="J6" s="162"/>
      <c r="K6" s="163"/>
      <c r="L6" s="164"/>
      <c r="N6" s="177"/>
      <c r="O6" s="178"/>
      <c r="P6" s="179"/>
    </row>
    <row r="7" spans="2:16" ht="24.95" customHeight="1" thickBot="1">
      <c r="B7" s="144"/>
      <c r="C7" s="145"/>
      <c r="D7" s="146"/>
      <c r="F7" s="156"/>
      <c r="G7" s="157"/>
      <c r="H7" s="158"/>
      <c r="J7" s="165"/>
      <c r="K7" s="166"/>
      <c r="L7" s="167"/>
      <c r="N7" s="180"/>
      <c r="O7" s="181"/>
      <c r="P7" s="182"/>
    </row>
    <row r="8" spans="2:16" ht="24.95" customHeight="1" thickBot="1"/>
    <row r="9" spans="2:16" ht="24.95" customHeight="1">
      <c r="B9" s="201" t="s">
        <v>305</v>
      </c>
      <c r="C9" s="202"/>
      <c r="D9" s="203"/>
      <c r="F9" s="198" t="s">
        <v>306</v>
      </c>
      <c r="G9" s="199"/>
      <c r="H9" s="200"/>
      <c r="J9" s="189" t="s">
        <v>4</v>
      </c>
      <c r="K9" s="190"/>
      <c r="L9" s="191"/>
      <c r="N9" s="159" t="s">
        <v>307</v>
      </c>
      <c r="O9" s="160"/>
      <c r="P9" s="161"/>
    </row>
    <row r="10" spans="2:16" ht="24.95" customHeight="1">
      <c r="B10" s="204">
        <f>Dashboard_2!C13</f>
        <v>20250</v>
      </c>
      <c r="C10" s="205"/>
      <c r="D10" s="206"/>
      <c r="F10" s="168">
        <f>Dashboard_2!C14</f>
        <v>5900</v>
      </c>
      <c r="G10" s="169"/>
      <c r="H10" s="170"/>
      <c r="J10" s="192">
        <f>Dashboard_2!C15</f>
        <v>14350</v>
      </c>
      <c r="K10" s="193"/>
      <c r="L10" s="194"/>
      <c r="N10" s="183">
        <f>Dashboard_2!C7</f>
        <v>3050</v>
      </c>
      <c r="O10" s="184"/>
      <c r="P10" s="185"/>
    </row>
    <row r="11" spans="2:16" ht="24.95" customHeight="1">
      <c r="B11" s="204"/>
      <c r="C11" s="205"/>
      <c r="D11" s="206"/>
      <c r="F11" s="168"/>
      <c r="G11" s="169"/>
      <c r="H11" s="170"/>
      <c r="J11" s="192"/>
      <c r="K11" s="193"/>
      <c r="L11" s="194"/>
      <c r="N11" s="183"/>
      <c r="O11" s="184"/>
      <c r="P11" s="185"/>
    </row>
    <row r="12" spans="2:16" ht="24.95" customHeight="1" thickBot="1">
      <c r="B12" s="207"/>
      <c r="C12" s="208"/>
      <c r="D12" s="209"/>
      <c r="F12" s="171"/>
      <c r="G12" s="172"/>
      <c r="H12" s="173"/>
      <c r="J12" s="195"/>
      <c r="K12" s="196"/>
      <c r="L12" s="197"/>
      <c r="N12" s="186"/>
      <c r="O12" s="187"/>
      <c r="P12" s="188"/>
    </row>
    <row r="13" spans="2:16" ht="24.95" customHeight="1" thickBot="1"/>
    <row r="14" spans="2:16" ht="24.95" customHeight="1">
      <c r="B14" s="150" t="s">
        <v>308</v>
      </c>
      <c r="C14" s="151"/>
      <c r="D14" s="152"/>
      <c r="F14" s="159" t="s">
        <v>42</v>
      </c>
      <c r="G14" s="160"/>
      <c r="H14" s="161"/>
      <c r="J14" s="159" t="s">
        <v>323</v>
      </c>
      <c r="K14" s="160"/>
      <c r="L14" s="161"/>
      <c r="N14" s="150" t="s">
        <v>324</v>
      </c>
      <c r="O14" s="151"/>
      <c r="P14" s="152"/>
    </row>
    <row r="15" spans="2:16" ht="24.95" customHeight="1">
      <c r="B15" s="210">
        <f>Dashboard_2!M19</f>
        <v>16250</v>
      </c>
      <c r="C15" s="211"/>
      <c r="D15" s="212"/>
      <c r="F15" s="183">
        <f>Dashboard_2!Q19</f>
        <v>65300</v>
      </c>
      <c r="G15" s="184"/>
      <c r="H15" s="185"/>
      <c r="J15" s="183">
        <f>Dashboard_2!Q8-'Yearly Fees'!H13</f>
        <v>700</v>
      </c>
      <c r="K15" s="184"/>
      <c r="L15" s="185"/>
      <c r="N15" s="210">
        <f>Dashboard_2!M8</f>
        <v>12250</v>
      </c>
      <c r="O15" s="211"/>
      <c r="P15" s="212"/>
    </row>
    <row r="16" spans="2:16" ht="24.95" customHeight="1">
      <c r="B16" s="210"/>
      <c r="C16" s="211"/>
      <c r="D16" s="212"/>
      <c r="F16" s="183"/>
      <c r="G16" s="184"/>
      <c r="H16" s="185"/>
      <c r="J16" s="183"/>
      <c r="K16" s="184"/>
      <c r="L16" s="185"/>
      <c r="N16" s="210"/>
      <c r="O16" s="211"/>
      <c r="P16" s="212"/>
    </row>
    <row r="17" spans="2:16" ht="24.95" customHeight="1" thickBot="1">
      <c r="B17" s="213"/>
      <c r="C17" s="214"/>
      <c r="D17" s="215"/>
      <c r="F17" s="186"/>
      <c r="G17" s="187"/>
      <c r="H17" s="188"/>
      <c r="J17" s="186"/>
      <c r="K17" s="187"/>
      <c r="L17" s="188"/>
      <c r="N17" s="213"/>
      <c r="O17" s="214"/>
      <c r="P17" s="215"/>
    </row>
    <row r="18" spans="2:16" ht="24.95" customHeight="1"/>
    <row r="19" spans="2:16" ht="24.95" customHeight="1"/>
    <row r="20" spans="2:16" ht="24.95" customHeight="1">
      <c r="B20" s="216"/>
      <c r="C20" s="216"/>
      <c r="D20" s="216"/>
      <c r="E20" s="10"/>
    </row>
    <row r="21" spans="2:16" ht="24.95" customHeight="1"/>
    <row r="22" spans="2:16" ht="24.95" customHeight="1"/>
    <row r="23" spans="2:16" ht="24.95" customHeight="1"/>
    <row r="24" spans="2:16" ht="24.95" customHeight="1"/>
    <row r="25" spans="2:16" ht="24.95" customHeight="1"/>
    <row r="26" spans="2:16" ht="24.95" customHeight="1"/>
    <row r="27" spans="2:16" ht="24.95" customHeight="1"/>
    <row r="28" spans="2:16" ht="24.95" customHeight="1"/>
    <row r="29" spans="2:16" ht="24.95" customHeight="1"/>
    <row r="30" spans="2:16" ht="24.95" customHeight="1"/>
    <row r="31" spans="2:16" ht="24.95" customHeight="1"/>
    <row r="32" spans="2:16" ht="24.95" customHeight="1"/>
    <row r="33" ht="24.95" customHeight="1"/>
    <row r="34" ht="24.95" customHeight="1"/>
    <row r="35" ht="24.95" customHeight="1"/>
  </sheetData>
  <mergeCells count="26">
    <mergeCell ref="F14:H14"/>
    <mergeCell ref="F15:H17"/>
    <mergeCell ref="J14:L14"/>
    <mergeCell ref="J15:L17"/>
    <mergeCell ref="N14:P14"/>
    <mergeCell ref="N15:P17"/>
    <mergeCell ref="B9:D9"/>
    <mergeCell ref="B10:D12"/>
    <mergeCell ref="B14:D14"/>
    <mergeCell ref="B15:D17"/>
    <mergeCell ref="B20:D20"/>
    <mergeCell ref="F10:H12"/>
    <mergeCell ref="N4:P4"/>
    <mergeCell ref="N5:P7"/>
    <mergeCell ref="N9:P9"/>
    <mergeCell ref="N10:P12"/>
    <mergeCell ref="J9:L9"/>
    <mergeCell ref="J10:L12"/>
    <mergeCell ref="F9:H9"/>
    <mergeCell ref="B2:P2"/>
    <mergeCell ref="B5:D7"/>
    <mergeCell ref="B4:D4"/>
    <mergeCell ref="F4:H4"/>
    <mergeCell ref="F5:H7"/>
    <mergeCell ref="J4:L4"/>
    <mergeCell ref="J5:L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10C81-0AD9-4933-9B65-3FF9AA19C3F6}">
  <sheetPr codeName="Sheet3">
    <tabColor rgb="FF00B050"/>
    <pageSetUpPr fitToPage="1"/>
  </sheetPr>
  <dimension ref="A1:BU643"/>
  <sheetViews>
    <sheetView showGridLines="0" showRowColHeaders="0" zoomScale="80" zoomScaleNormal="80" workbookViewId="0">
      <selection activeCell="B2" sqref="B2:P2"/>
    </sheetView>
  </sheetViews>
  <sheetFormatPr defaultColWidth="9.140625" defaultRowHeight="15"/>
  <cols>
    <col min="1" max="1" width="3.7109375" style="13" customWidth="1"/>
    <col min="2" max="2" width="36.42578125" style="13" bestFit="1" customWidth="1"/>
    <col min="3" max="3" width="21.5703125" style="13" bestFit="1" customWidth="1"/>
    <col min="4" max="4" width="3.7109375" style="13" customWidth="1"/>
    <col min="5" max="5" width="19.42578125" style="13" customWidth="1"/>
    <col min="6" max="6" width="9.7109375" style="13" customWidth="1"/>
    <col min="7" max="7" width="11.140625" style="13" customWidth="1"/>
    <col min="8" max="8" width="18.140625" style="13" customWidth="1"/>
    <col min="9" max="9" width="15" style="13" customWidth="1"/>
    <col min="10" max="10" width="2.85546875" style="13" customWidth="1"/>
    <col min="11" max="11" width="16" style="13" bestFit="1" customWidth="1"/>
    <col min="12" max="12" width="22.140625" style="13" bestFit="1" customWidth="1"/>
    <col min="13" max="13" width="13.42578125" style="13" bestFit="1" customWidth="1"/>
    <col min="14" max="14" width="2.5703125" style="13" customWidth="1"/>
    <col min="15" max="15" width="16" style="13" bestFit="1" customWidth="1"/>
    <col min="16" max="16" width="27.28515625" style="13" bestFit="1" customWidth="1"/>
    <col min="17" max="17" width="13.42578125" style="13" bestFit="1" customWidth="1"/>
    <col min="18" max="18" width="16" style="13" bestFit="1" customWidth="1"/>
    <col min="19" max="19" width="27.28515625" style="13" bestFit="1" customWidth="1"/>
    <col min="20" max="20" width="13.42578125" style="13" bestFit="1" customWidth="1"/>
    <col min="21" max="16384" width="9.140625" style="13"/>
  </cols>
  <sheetData>
    <row r="1" spans="1:73" ht="7.5" customHeight="1" thickBot="1">
      <c r="A1" s="12"/>
      <c r="B1" s="12"/>
      <c r="C1" s="12"/>
      <c r="D1" s="12"/>
      <c r="E1" s="12"/>
      <c r="F1" s="12"/>
      <c r="G1" s="12"/>
      <c r="H1" s="12"/>
      <c r="I1" s="12"/>
      <c r="J1" s="12"/>
      <c r="K1" s="12"/>
      <c r="L1" s="12"/>
      <c r="M1" s="12"/>
      <c r="N1" s="12"/>
      <c r="O1" s="12"/>
      <c r="P1" s="12"/>
      <c r="Q1" s="12"/>
      <c r="R1" s="12"/>
      <c r="S1" s="12"/>
      <c r="T1" s="12"/>
      <c r="U1" s="12"/>
      <c r="V1" s="12"/>
      <c r="W1" s="12"/>
      <c r="X1" s="12"/>
      <c r="Y1" s="12"/>
      <c r="Z1" s="12"/>
    </row>
    <row r="2" spans="1:73" ht="33.75" customHeight="1" thickBot="1">
      <c r="A2" s="12"/>
      <c r="B2" s="138" t="s">
        <v>310</v>
      </c>
      <c r="C2" s="232"/>
      <c r="D2" s="232"/>
      <c r="E2" s="232"/>
      <c r="F2" s="232"/>
      <c r="G2" s="232"/>
      <c r="H2" s="232"/>
      <c r="I2" s="232"/>
      <c r="J2" s="232"/>
      <c r="K2" s="232"/>
      <c r="L2" s="232"/>
      <c r="M2" s="232"/>
      <c r="N2" s="232"/>
      <c r="O2" s="232"/>
      <c r="P2" s="233"/>
      <c r="Q2" s="135"/>
      <c r="R2" s="135"/>
      <c r="S2" s="135"/>
      <c r="T2" s="135"/>
      <c r="U2" s="12"/>
      <c r="V2" s="12"/>
      <c r="W2" s="12"/>
      <c r="X2" s="12"/>
      <c r="Y2" s="12"/>
      <c r="Z2" s="12"/>
    </row>
    <row r="3" spans="1:73" ht="15.75" customHeight="1" thickBot="1">
      <c r="A3" s="12"/>
      <c r="B3" s="12"/>
      <c r="C3" s="9"/>
      <c r="D3" s="12"/>
      <c r="E3" s="12"/>
      <c r="F3" s="12"/>
      <c r="G3" s="12"/>
      <c r="H3" s="12"/>
      <c r="I3" s="12"/>
      <c r="J3" s="12"/>
      <c r="K3" s="12"/>
      <c r="L3" s="12"/>
      <c r="M3" s="12"/>
      <c r="N3" s="12"/>
      <c r="O3" s="12"/>
      <c r="P3" s="12"/>
      <c r="Q3" s="12"/>
      <c r="R3" s="12"/>
      <c r="S3" s="12"/>
      <c r="T3" s="12"/>
      <c r="U3" s="12"/>
      <c r="V3" s="12"/>
      <c r="W3" s="12"/>
      <c r="X3" s="12"/>
      <c r="Y3" s="12"/>
      <c r="Z3" s="12"/>
    </row>
    <row r="4" spans="1:73" ht="15.75" customHeight="1">
      <c r="A4" s="9"/>
      <c r="B4" s="226" t="s">
        <v>288</v>
      </c>
      <c r="C4" s="227"/>
      <c r="D4" s="9"/>
      <c r="E4" s="147" t="s">
        <v>369</v>
      </c>
      <c r="F4" s="148"/>
      <c r="G4" s="148"/>
      <c r="H4" s="148"/>
      <c r="I4" s="149"/>
      <c r="K4" s="218" t="s">
        <v>309</v>
      </c>
      <c r="L4" s="219"/>
      <c r="M4" s="220"/>
      <c r="N4" s="9"/>
      <c r="O4" s="218" t="s">
        <v>316</v>
      </c>
      <c r="P4" s="219"/>
      <c r="Q4" s="220"/>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row>
    <row r="5" spans="1:73" ht="15.75" customHeight="1" thickBot="1">
      <c r="B5" s="228"/>
      <c r="C5" s="229"/>
      <c r="E5" s="236"/>
      <c r="F5" s="237"/>
      <c r="G5" s="237"/>
      <c r="H5" s="237"/>
      <c r="I5" s="238"/>
      <c r="K5" s="221"/>
      <c r="L5" s="222"/>
      <c r="M5" s="223"/>
      <c r="N5" s="9"/>
      <c r="O5" s="221"/>
      <c r="P5" s="222"/>
      <c r="Q5" s="223"/>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row>
    <row r="6" spans="1:73" ht="15.75" customHeight="1">
      <c r="B6" s="21" t="s">
        <v>312</v>
      </c>
      <c r="C6" s="113">
        <f>SUM('All Names'!E8:E117)</f>
        <v>23300</v>
      </c>
      <c r="E6" s="20" t="s">
        <v>2</v>
      </c>
      <c r="F6" s="20" t="s">
        <v>232</v>
      </c>
      <c r="G6" s="20" t="s">
        <v>370</v>
      </c>
      <c r="H6" s="20" t="s">
        <v>202</v>
      </c>
      <c r="I6" s="20" t="s">
        <v>289</v>
      </c>
      <c r="K6" s="20" t="s">
        <v>38</v>
      </c>
      <c r="L6" s="20" t="s">
        <v>39</v>
      </c>
      <c r="M6" s="20" t="s">
        <v>40</v>
      </c>
      <c r="N6" s="9"/>
      <c r="O6" s="20" t="s">
        <v>38</v>
      </c>
      <c r="P6" s="20" t="s">
        <v>42</v>
      </c>
      <c r="Q6" s="20" t="s">
        <v>40</v>
      </c>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row>
    <row r="7" spans="1:73" ht="15.75" customHeight="1">
      <c r="B7" s="17" t="s">
        <v>313</v>
      </c>
      <c r="C7" s="117">
        <f>SUMIF('All Names'!F8:F117,"LEFT ",'All Names'!E8:E117)</f>
        <v>3050</v>
      </c>
      <c r="D7" s="9"/>
      <c r="E7" s="17" t="s">
        <v>7</v>
      </c>
      <c r="F7" s="18">
        <f>COUNTIFS('All Names'!C8:C117,"0th",'All Names'!F8:F117,"LEFT ")</f>
        <v>1</v>
      </c>
      <c r="G7" s="18">
        <f>COUNTIFS('All Names'!C8:C117,"0th",'All Names'!F8:F117,"ACTIVE ")</f>
        <v>8</v>
      </c>
      <c r="H7" s="18">
        <f>COUNTIFS('All Names'!C8:C117,"0th",'All Names'!F8:F117,"ANC")</f>
        <v>0</v>
      </c>
      <c r="I7" s="18">
        <f>F7+G7+H7</f>
        <v>9</v>
      </c>
      <c r="K7" s="17" t="s">
        <v>24</v>
      </c>
      <c r="L7" s="18">
        <f>COUNTIF('Regular Fees '!E7:E116,"PAID")</f>
        <v>16</v>
      </c>
      <c r="M7" s="19">
        <f>SUMIF('Regular Fees '!E7:E116,"PAID",'Regular Fees '!D7:D116)</f>
        <v>4000</v>
      </c>
      <c r="N7" s="9"/>
      <c r="O7" s="17" t="s">
        <v>24</v>
      </c>
      <c r="P7" s="18">
        <f>COUNTIF('Regular Fees '!E7:E116,"UNPAID")</f>
        <v>11</v>
      </c>
      <c r="Q7" s="19">
        <f>SUMIF('Regular Fees '!E7:E116,"UNPAID",'Regular Fees '!D7:D116)</f>
        <v>5600</v>
      </c>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row>
    <row r="8" spans="1:73" ht="15.75" customHeight="1">
      <c r="B8" s="17" t="s">
        <v>314</v>
      </c>
      <c r="C8" s="118">
        <f>SUMIF('All Names'!F8:F117,"ANC",'All Names'!E8:E117)</f>
        <v>0</v>
      </c>
      <c r="D8" s="9"/>
      <c r="E8" s="17" t="s">
        <v>8</v>
      </c>
      <c r="F8" s="18">
        <f>COUNTIFS('All Names'!C8:C117,"Jr.kg/Sr.kg",'All Names'!F8:F117,"LEFT ")</f>
        <v>0</v>
      </c>
      <c r="G8" s="18">
        <f>COUNTIFS('All Names'!C8:C117,"Jr.kg/Sr.kg",'All Names'!F8:F117,"ACTIVE ")</f>
        <v>6</v>
      </c>
      <c r="H8" s="18">
        <f>COUNTIFS('All Names'!C8:C117,"Jr.kg/Sr.kg",'All Names'!F8:F117,"ANC")</f>
        <v>0</v>
      </c>
      <c r="I8" s="18">
        <f t="shared" ref="I8:I18" si="0">F8+G8+H8</f>
        <v>6</v>
      </c>
      <c r="K8" s="17" t="s">
        <v>25</v>
      </c>
      <c r="L8" s="18">
        <f>COUNTIF('Regular Fees '!F7:F117,"PAID")</f>
        <v>36</v>
      </c>
      <c r="M8" s="19">
        <f>SUMIF('Regular Fees '!F7:F116,"PAID",'Regular Fees '!D7:D116)</f>
        <v>12250</v>
      </c>
      <c r="O8" s="17" t="s">
        <v>25</v>
      </c>
      <c r="P8" s="18">
        <f>COUNTIF('Regular Fees '!F7:F116,"UNPAID")</f>
        <v>15</v>
      </c>
      <c r="Q8" s="19">
        <f>SUMIF('Regular Fees '!F7:F116,"UNPAID",'Regular Fees '!D7:D116)</f>
        <v>6600</v>
      </c>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row>
    <row r="9" spans="1:73" ht="15.75">
      <c r="B9" s="17" t="s">
        <v>315</v>
      </c>
      <c r="C9" s="116">
        <f>C6-C7-C8</f>
        <v>20250</v>
      </c>
      <c r="D9" s="9"/>
      <c r="E9" s="17" t="s">
        <v>9</v>
      </c>
      <c r="F9" s="18">
        <f>COUNTIFS('All Names'!C8:C117,"1st",'All Names'!F8:F117,"LEFT ")</f>
        <v>0</v>
      </c>
      <c r="G9" s="18">
        <f>COUNTIFS('All Names'!C8:C117,"1st",'All Names'!F8:F117,"ACTIVE ")</f>
        <v>7</v>
      </c>
      <c r="H9" s="18">
        <f>COUNTIFS('All Names'!C8:C117,"1st",'All Names'!F8:F117,"ANC")</f>
        <v>0</v>
      </c>
      <c r="I9" s="18">
        <f t="shared" si="0"/>
        <v>7</v>
      </c>
      <c r="K9" s="17" t="s">
        <v>26</v>
      </c>
      <c r="L9" s="18">
        <f>COUNTIF('Regular Fees '!G7:G117,"PAID")</f>
        <v>3</v>
      </c>
      <c r="M9" s="19">
        <f>SUMIF('Regular Fees '!G7:G116,"PAID",'Regular Fees '!D7:D116)</f>
        <v>0</v>
      </c>
      <c r="O9" s="17" t="s">
        <v>26</v>
      </c>
      <c r="P9" s="18">
        <f>COUNTIF('Regular Fees '!G7:G116,"UNPAID")</f>
        <v>12</v>
      </c>
      <c r="Q9" s="19">
        <f>SUMIF('Regular Fees '!G7:G116,"UNPAID",'Regular Fees '!D7:D116)</f>
        <v>5900</v>
      </c>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row>
    <row r="10" spans="1:73" ht="16.5" thickBot="1">
      <c r="D10" s="9"/>
      <c r="E10" s="17" t="s">
        <v>10</v>
      </c>
      <c r="F10" s="18">
        <f>COUNTIFS('All Names'!C8:C117,"2nd",'All Names'!F8:F117,"LEFT ")</f>
        <v>1</v>
      </c>
      <c r="G10" s="18">
        <f>COUNTIFS('All Names'!C8:C117,"2nd",'All Names'!F8:F117,"ACTIVE ")</f>
        <v>4</v>
      </c>
      <c r="H10" s="18">
        <f>COUNTIFS('All Names'!C8:C117,"2nd",'All Names'!F8:F117,"ANC")</f>
        <v>0</v>
      </c>
      <c r="I10" s="18">
        <f t="shared" si="0"/>
        <v>5</v>
      </c>
      <c r="K10" s="17" t="s">
        <v>27</v>
      </c>
      <c r="L10" s="18">
        <f>COUNTIF('Regular Fees '!H7:H117,"PAID")</f>
        <v>3</v>
      </c>
      <c r="M10" s="19">
        <f>SUMIF('Regular Fees '!H7:H116,"PAID",'Regular Fees '!D7:D116)</f>
        <v>0</v>
      </c>
      <c r="O10" s="17" t="s">
        <v>27</v>
      </c>
      <c r="P10" s="18">
        <f>COUNTIF('Regular Fees '!H7:H116,"UNPAID")</f>
        <v>12</v>
      </c>
      <c r="Q10" s="19">
        <f>SUMIF('Regular Fees '!H7:H116,"UNPAID",'Regular Fees '!D7:D116)</f>
        <v>5900</v>
      </c>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row>
    <row r="11" spans="1:73" ht="15.75">
      <c r="B11" s="239" t="s">
        <v>290</v>
      </c>
      <c r="C11" s="240"/>
      <c r="D11" s="9"/>
      <c r="E11" s="17" t="s">
        <v>11</v>
      </c>
      <c r="F11" s="18">
        <f>COUNTIFS('All Names'!C8:C117,"3rd",'All Names'!F8:F117,"LEFT ")</f>
        <v>0</v>
      </c>
      <c r="G11" s="18">
        <f>COUNTIFS('All Names'!C8:C117,"3rd",'All Names'!F8:F117,"ACTIVE ")</f>
        <v>9</v>
      </c>
      <c r="H11" s="18">
        <f>COUNTIFS('All Names'!C8:C117,"3rd",'All Names'!F8:F117,"ANC")</f>
        <v>0</v>
      </c>
      <c r="I11" s="18">
        <f t="shared" si="0"/>
        <v>9</v>
      </c>
      <c r="K11" s="17" t="s">
        <v>28</v>
      </c>
      <c r="L11" s="18">
        <f>COUNTIF('Regular Fees '!I7:I117,"PAID")</f>
        <v>3</v>
      </c>
      <c r="M11" s="19">
        <f>SUMIF('Regular Fees '!I7:I116,"PAID",'Regular Fees '!D7:D116)</f>
        <v>0</v>
      </c>
      <c r="O11" s="17" t="s">
        <v>28</v>
      </c>
      <c r="P11" s="18">
        <f>COUNTIF('Regular Fees '!I7:I116,"UNPAID")</f>
        <v>12</v>
      </c>
      <c r="Q11" s="19">
        <f>SUMIF('Regular Fees '!I7:I116,"UNPAID",'Regular Fees '!D7:D116)</f>
        <v>5900</v>
      </c>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row>
    <row r="12" spans="1:73" ht="16.5" thickBot="1">
      <c r="B12" s="241"/>
      <c r="C12" s="242"/>
      <c r="D12" s="9"/>
      <c r="E12" s="17" t="s">
        <v>12</v>
      </c>
      <c r="F12" s="18">
        <f>COUNTIFS('All Names'!C8:C117,"4th",'All Names'!F8:F117,"LEFT ")</f>
        <v>0</v>
      </c>
      <c r="G12" s="18">
        <f>COUNTIFS('All Names'!C8:C117,"4th",'All Names'!F8:F117,"ACTIVE ")</f>
        <v>11</v>
      </c>
      <c r="H12" s="18">
        <f>COUNTIFS('All Names'!C8:C117,"4th",'All Names'!F8:F117,"ANC")</f>
        <v>0</v>
      </c>
      <c r="I12" s="18">
        <f t="shared" si="0"/>
        <v>11</v>
      </c>
      <c r="K12" s="17" t="s">
        <v>29</v>
      </c>
      <c r="L12" s="18">
        <f>COUNTIF('Regular Fees '!J7:J117,"PAID")</f>
        <v>3</v>
      </c>
      <c r="M12" s="19">
        <f>SUMIF('Regular Fees '!J7:J116,"PAID",'Regular Fees '!D7:D116)</f>
        <v>0</v>
      </c>
      <c r="O12" s="17" t="s">
        <v>29</v>
      </c>
      <c r="P12" s="18">
        <f>COUNTIF('Regular Fees '!J7:J116,"UNPAID")</f>
        <v>12</v>
      </c>
      <c r="Q12" s="19">
        <f>SUMIF('Regular Fees '!J7:J116,"UNPAID",'Regular Fees '!D7:D116)</f>
        <v>5900</v>
      </c>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row>
    <row r="13" spans="1:73" ht="15.75">
      <c r="B13" s="21" t="s">
        <v>305</v>
      </c>
      <c r="C13" s="115">
        <f>Dashboard_2!C9</f>
        <v>20250</v>
      </c>
      <c r="D13" s="9"/>
      <c r="E13" s="17" t="s">
        <v>13</v>
      </c>
      <c r="F13" s="18">
        <f>COUNTIFS('All Names'!C8:C117,"5th",'All Names'!F8:F117,"LEFT ")</f>
        <v>1</v>
      </c>
      <c r="G13" s="18">
        <f>COUNTIFS('All Names'!C8:C117,"5th",'All Names'!F8:F117,"ACTIVE ")</f>
        <v>6</v>
      </c>
      <c r="H13" s="18">
        <f>COUNTIFS('All Names'!C8:C117,"5th",'All Names'!F8:F117,"ANC")</f>
        <v>0</v>
      </c>
      <c r="I13" s="18">
        <f t="shared" si="0"/>
        <v>7</v>
      </c>
      <c r="K13" s="17" t="s">
        <v>30</v>
      </c>
      <c r="L13" s="18">
        <f>COUNTIF('Regular Fees '!K7:K117,"PAID")</f>
        <v>3</v>
      </c>
      <c r="M13" s="19">
        <f>SUMIF('Regular Fees '!K7:K116,"PAID",'Regular Fees '!D7:D116)</f>
        <v>0</v>
      </c>
      <c r="O13" s="17" t="s">
        <v>30</v>
      </c>
      <c r="P13" s="18">
        <f>COUNTIF('Regular Fees '!K7:K116,"UNPAID")</f>
        <v>12</v>
      </c>
      <c r="Q13" s="19">
        <f>SUMIF('Regular Fees '!K7:K116,"UNPAID",'Regular Fees '!D7:D116)</f>
        <v>5900</v>
      </c>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row>
    <row r="14" spans="1:73" ht="15.75">
      <c r="B14" s="17" t="s">
        <v>306</v>
      </c>
      <c r="C14" s="116">
        <f>SUM('Yearly Fees'!H7:H12)</f>
        <v>5900</v>
      </c>
      <c r="D14" s="9"/>
      <c r="E14" s="17" t="s">
        <v>14</v>
      </c>
      <c r="F14" s="18">
        <f>COUNTIFS('All Names'!C8:C117,"6th",'All Names'!F8:F117,"LEFT ")</f>
        <v>0</v>
      </c>
      <c r="G14" s="18">
        <f>COUNTIFS('All Names'!C8:C117,"6th",'All Names'!F8:F117,"ACTIVE ")</f>
        <v>2</v>
      </c>
      <c r="H14" s="18">
        <f>COUNTIFS('All Names'!C8:C117,"6th",'All Names'!F8:F117,"ANC")</f>
        <v>0</v>
      </c>
      <c r="I14" s="18">
        <f t="shared" si="0"/>
        <v>2</v>
      </c>
      <c r="K14" s="17" t="s">
        <v>31</v>
      </c>
      <c r="L14" s="18">
        <f>COUNTIF('Regular Fees '!L7:L117,"PAID")</f>
        <v>3</v>
      </c>
      <c r="M14" s="19">
        <f>SUMIF('Regular Fees '!L7:L116,"PAID",'Regular Fees '!D7:D116)</f>
        <v>0</v>
      </c>
      <c r="O14" s="17" t="s">
        <v>31</v>
      </c>
      <c r="P14" s="18">
        <f>COUNTIF('Regular Fees '!L7:L116,"UNPAID")</f>
        <v>12</v>
      </c>
      <c r="Q14" s="19">
        <f>SUMIF('Regular Fees '!L7:L116,"UNPAID",'Regular Fees '!D7:D116)</f>
        <v>5900</v>
      </c>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row>
    <row r="15" spans="1:73" ht="15.75">
      <c r="B15" s="17" t="s">
        <v>317</v>
      </c>
      <c r="C15" s="116">
        <f>C13-C14</f>
        <v>14350</v>
      </c>
      <c r="D15" s="9"/>
      <c r="E15" s="17" t="s">
        <v>15</v>
      </c>
      <c r="F15" s="18">
        <f>COUNTIFS('All Names'!C8:C117,"7th",'All Names'!F8:F117,"LEFT ")</f>
        <v>0</v>
      </c>
      <c r="G15" s="18">
        <f>COUNTIFS('All Names'!C8:C117,"7th",'All Names'!F8:F117,"ACTIVE ")</f>
        <v>0</v>
      </c>
      <c r="H15" s="18">
        <f>COUNTIFS('All Names'!C8:C117,"7th",'All Names'!F8:F117,"ANC")</f>
        <v>0</v>
      </c>
      <c r="I15" s="18">
        <f t="shared" si="0"/>
        <v>0</v>
      </c>
      <c r="K15" s="17" t="s">
        <v>32</v>
      </c>
      <c r="L15" s="18">
        <f>COUNTIF('Regular Fees '!M7:M117,"PAID")</f>
        <v>3</v>
      </c>
      <c r="M15" s="19">
        <f>SUMIF('Regular Fees '!M7:M116,"PAID",'Regular Fees '!D7:D116)</f>
        <v>0</v>
      </c>
      <c r="O15" s="17" t="s">
        <v>32</v>
      </c>
      <c r="P15" s="18">
        <f>COUNTIF('Regular Fees '!M7:M116,"UNPAID")</f>
        <v>12</v>
      </c>
      <c r="Q15" s="19">
        <f>SUMIF('Regular Fees '!M7:M116,"UNPAID",'Regular Fees '!D7:D116)</f>
        <v>5900</v>
      </c>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row>
    <row r="16" spans="1:73" ht="16.5" thickBot="1">
      <c r="D16" s="9"/>
      <c r="E16" s="17" t="s">
        <v>16</v>
      </c>
      <c r="F16" s="18">
        <f>COUNTIFS('All Names'!C8:C117,"8th",'All Names'!F8:F117,"LEFT ")</f>
        <v>1</v>
      </c>
      <c r="G16" s="18">
        <f>COUNTIFS('All Names'!C8:C117,"8th",'All Names'!F8:F117,"ACTIVE ")</f>
        <v>2</v>
      </c>
      <c r="H16" s="18">
        <f>COUNTIFS('All Names'!C8:C117,"8th",'All Names'!F8:F117,"ANC")</f>
        <v>0</v>
      </c>
      <c r="I16" s="18">
        <f t="shared" si="0"/>
        <v>3</v>
      </c>
      <c r="K16" s="17" t="s">
        <v>41</v>
      </c>
      <c r="L16" s="18">
        <f>COUNTIF('Regular Fees '!N7:N117,"PAID")</f>
        <v>3</v>
      </c>
      <c r="M16" s="19">
        <f>SUMIF('Regular Fees '!N7:N116,"PAID",'Regular Fees '!D7:D116)</f>
        <v>0</v>
      </c>
      <c r="O16" s="17" t="s">
        <v>41</v>
      </c>
      <c r="P16" s="18">
        <f>COUNTIF('Regular Fees '!N7:N116,"UNPAID")</f>
        <v>12</v>
      </c>
      <c r="Q16" s="19">
        <f>SUMIF('Regular Fees '!N7:N116,"UNPAID",'Regular Fees '!D7:D116)</f>
        <v>5900</v>
      </c>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row>
    <row r="17" spans="2:73" ht="15.75">
      <c r="B17" s="226" t="s">
        <v>292</v>
      </c>
      <c r="C17" s="227"/>
      <c r="D17" s="9"/>
      <c r="E17" s="17" t="s">
        <v>17</v>
      </c>
      <c r="F17" s="18">
        <f>COUNTIFS('All Names'!C8:C117,"9th",'All Names'!F8:F117,"LEFT ")</f>
        <v>0</v>
      </c>
      <c r="G17" s="18">
        <f>COUNTIFS('All Names'!C8:C117,"9th",'All Names'!F8:F117,"ACTIVE ")</f>
        <v>2</v>
      </c>
      <c r="H17" s="18">
        <f>COUNTIFS('All Names'!C8:C117,"9th",'All Names'!F8:F117,"ANC")</f>
        <v>0</v>
      </c>
      <c r="I17" s="18">
        <f t="shared" si="0"/>
        <v>2</v>
      </c>
      <c r="K17" s="17" t="s">
        <v>34</v>
      </c>
      <c r="L17" s="18">
        <f>COUNTIF('Regular Fees '!O7:O117,"PAID")</f>
        <v>3</v>
      </c>
      <c r="M17" s="19">
        <f>SUMIF('Regular Fees '!O7:O116,"PAID",'Regular Fees '!D7:D116)</f>
        <v>0</v>
      </c>
      <c r="O17" s="17" t="s">
        <v>34</v>
      </c>
      <c r="P17" s="18">
        <f>COUNTIF('Regular Fees '!O7:O116,"UNPAID")</f>
        <v>12</v>
      </c>
      <c r="Q17" s="19">
        <f>SUMIF('Regular Fees '!O7:O116,"UNPAID",'Regular Fees '!D7:D116)</f>
        <v>5900</v>
      </c>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row>
    <row r="18" spans="2:73" ht="16.5" thickBot="1">
      <c r="B18" s="228"/>
      <c r="C18" s="229"/>
      <c r="D18" s="9"/>
      <c r="E18" s="17" t="s">
        <v>19</v>
      </c>
      <c r="F18" s="18">
        <f>COUNTIFS('All Names'!C8:C117,"10th",'All Names'!F8:F117,"LEFT ")</f>
        <v>1</v>
      </c>
      <c r="G18" s="18">
        <f>COUNTIFS('All Names'!C8:C117,"10th",'All Names'!F8:F117,"ACTIVE ")</f>
        <v>1</v>
      </c>
      <c r="H18" s="18">
        <f>COUNTIFS('All Names'!C8:C117,"10th",'All Names'!F8:F117,"ANC")</f>
        <v>0</v>
      </c>
      <c r="I18" s="18">
        <f t="shared" si="0"/>
        <v>2</v>
      </c>
      <c r="K18" s="17" t="s">
        <v>35</v>
      </c>
      <c r="L18" s="18">
        <f>COUNTIF('Regular Fees '!P7:P117,"PAID")</f>
        <v>0</v>
      </c>
      <c r="M18" s="19">
        <f>SUMIF('Regular Fees '!P7:P116,"PAID",'Regular Fees '!D7:D116)</f>
        <v>0</v>
      </c>
      <c r="O18" s="17" t="s">
        <v>35</v>
      </c>
      <c r="P18" s="18">
        <f>COUNTIF('Regular Fees '!P7:P116,"UNPAID")</f>
        <v>0</v>
      </c>
      <c r="Q18" s="19">
        <f>SUMIF('Regular Fees '!P7:P116,"UNPAID",'Regular Fees '!D7:D116)</f>
        <v>0</v>
      </c>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row>
    <row r="19" spans="2:73" ht="15.75">
      <c r="B19" s="21" t="s">
        <v>1</v>
      </c>
      <c r="C19" s="21" t="s">
        <v>43</v>
      </c>
      <c r="D19" s="9"/>
      <c r="E19" s="16" t="s">
        <v>289</v>
      </c>
      <c r="F19" s="111">
        <f>SUM(F7:F18)</f>
        <v>5</v>
      </c>
      <c r="G19" s="111">
        <f>SUM(G7:G18)</f>
        <v>58</v>
      </c>
      <c r="H19" s="111">
        <f>SUM(H7:H18)</f>
        <v>0</v>
      </c>
      <c r="I19" s="111">
        <f>SUM(I7:I18)</f>
        <v>63</v>
      </c>
      <c r="K19" s="234" t="s">
        <v>364</v>
      </c>
      <c r="L19" s="234"/>
      <c r="M19" s="114">
        <f>SUM(M7:M18)</f>
        <v>16250</v>
      </c>
      <c r="N19" s="9"/>
      <c r="O19" s="234" t="s">
        <v>365</v>
      </c>
      <c r="P19" s="234"/>
      <c r="Q19" s="114">
        <f>SUM(Q7:Q18)</f>
        <v>65300</v>
      </c>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row>
    <row r="20" spans="2:73" ht="15.75" customHeight="1">
      <c r="B20" s="224" t="s">
        <v>379</v>
      </c>
      <c r="C20" s="235">
        <f>VLOOKUP(Dashboard_2!B20,Table6[[NAME]:[FEES AMOUNT]],3,FALSE)</f>
        <v>800</v>
      </c>
      <c r="D20" s="9"/>
      <c r="N20" s="9"/>
      <c r="O20" s="9"/>
      <c r="P20" s="9"/>
      <c r="Q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row>
    <row r="21" spans="2:73" ht="15.75" customHeight="1">
      <c r="B21" s="224"/>
      <c r="C21" s="235"/>
      <c r="D21" s="9"/>
      <c r="E21" s="231"/>
      <c r="G21" s="231"/>
      <c r="N21" s="9"/>
      <c r="O21" s="9"/>
      <c r="P21" s="9"/>
      <c r="Q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row>
    <row r="22" spans="2:73" ht="26.25">
      <c r="B22" s="224"/>
      <c r="C22" s="235"/>
      <c r="D22" s="130"/>
      <c r="E22" s="231"/>
      <c r="G22" s="231"/>
      <c r="M22" s="9"/>
      <c r="N22" s="9"/>
      <c r="O22" s="9"/>
      <c r="P22" s="9"/>
      <c r="Q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row>
    <row r="23" spans="2:73" ht="15.75" customHeight="1">
      <c r="B23" s="17" t="s">
        <v>1</v>
      </c>
      <c r="C23" s="17" t="s">
        <v>44</v>
      </c>
      <c r="D23" s="130"/>
      <c r="M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row>
    <row r="24" spans="2:73" ht="15.75">
      <c r="B24" s="224" t="s">
        <v>380</v>
      </c>
      <c r="C24" s="224" t="s">
        <v>28</v>
      </c>
      <c r="D24" s="9"/>
      <c r="E24" s="9"/>
      <c r="F24" s="9"/>
      <c r="L24" s="9"/>
      <c r="M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row>
    <row r="25" spans="2:73" ht="15.75">
      <c r="B25" s="224"/>
      <c r="C25" s="224"/>
      <c r="D25" s="9"/>
      <c r="M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row>
    <row r="26" spans="2:73" ht="15.75">
      <c r="B26" s="230" t="str">
        <f>INDEX('Regular Fees '!E7:P116,MATCH(B24,'Regular Fees '!B7:B116,0),MATCH(C24,Table6[[#Headers],[JUNE]:[MAY]],0))</f>
        <v>UNPAID</v>
      </c>
      <c r="C26" s="230"/>
      <c r="D26" s="9"/>
      <c r="M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row>
    <row r="27" spans="2:73" ht="15.75">
      <c r="B27" s="230"/>
      <c r="C27" s="230"/>
      <c r="D27" s="9"/>
      <c r="M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row>
    <row r="28" spans="2:73" ht="15.75">
      <c r="L28" s="9"/>
      <c r="M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row>
    <row r="29" spans="2:73" ht="15.75">
      <c r="L29" s="9"/>
      <c r="M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row>
    <row r="30" spans="2:73" ht="15.75">
      <c r="B30" s="225" t="s">
        <v>291</v>
      </c>
      <c r="C30" s="225"/>
      <c r="D30" s="9"/>
      <c r="L30" s="9"/>
      <c r="M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row>
    <row r="31" spans="2:73" ht="15.75">
      <c r="B31" s="225"/>
      <c r="C31" s="225"/>
      <c r="D31" s="9"/>
      <c r="L31" s="9"/>
      <c r="M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row>
    <row r="32" spans="2:73" ht="15.75">
      <c r="B32" s="17" t="s">
        <v>207</v>
      </c>
      <c r="C32" s="17" t="s">
        <v>206</v>
      </c>
      <c r="D32" s="9"/>
      <c r="L32" s="9"/>
      <c r="M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row>
    <row r="33" spans="1:73" ht="15.75">
      <c r="B33" s="16" t="s">
        <v>36</v>
      </c>
      <c r="C33" s="18" t="s">
        <v>208</v>
      </c>
      <c r="D33" s="9"/>
      <c r="L33" s="9"/>
      <c r="M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row>
    <row r="34" spans="1:73" ht="15.75">
      <c r="B34" s="16" t="s">
        <v>37</v>
      </c>
      <c r="C34" s="18" t="s">
        <v>209</v>
      </c>
      <c r="D34" s="9"/>
      <c r="L34" s="9"/>
      <c r="M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row>
    <row r="35" spans="1:73" ht="15.75">
      <c r="B35" s="16" t="s">
        <v>212</v>
      </c>
      <c r="C35" s="18" t="s">
        <v>210</v>
      </c>
      <c r="D35" s="9"/>
      <c r="L35" s="9"/>
      <c r="M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row>
    <row r="36" spans="1:73" ht="15.75">
      <c r="B36" s="16" t="s">
        <v>213</v>
      </c>
      <c r="C36" s="18" t="s">
        <v>211</v>
      </c>
      <c r="D36" s="9"/>
      <c r="L36" s="9"/>
      <c r="M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row>
    <row r="37" spans="1:73" ht="15.75">
      <c r="B37" s="16" t="s">
        <v>223</v>
      </c>
      <c r="C37" s="18" t="s">
        <v>202</v>
      </c>
      <c r="D37" s="9"/>
      <c r="H37" s="9"/>
      <c r="L37" s="9"/>
      <c r="M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row>
    <row r="38" spans="1:73" ht="15.75">
      <c r="B38" s="16" t="s">
        <v>228</v>
      </c>
      <c r="C38" s="18" t="s">
        <v>230</v>
      </c>
      <c r="D38" s="9"/>
      <c r="H38" s="9"/>
      <c r="L38" s="9"/>
      <c r="M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row>
    <row r="39" spans="1:73" ht="15.75">
      <c r="B39" s="16" t="s">
        <v>229</v>
      </c>
      <c r="C39" s="18" t="s">
        <v>231</v>
      </c>
      <c r="D39" s="9"/>
      <c r="H39" s="9"/>
      <c r="L39" s="9"/>
      <c r="M39" s="9"/>
      <c r="N39" s="9"/>
      <c r="O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row>
    <row r="40" spans="1:73" ht="31.5">
      <c r="A40" s="9"/>
      <c r="B40" s="136" t="s">
        <v>318</v>
      </c>
      <c r="C40" s="18" t="s">
        <v>319</v>
      </c>
      <c r="D40" s="9"/>
      <c r="H40" s="9"/>
      <c r="L40" s="9"/>
      <c r="M40" s="9"/>
      <c r="N40" s="9"/>
      <c r="O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row>
    <row r="41" spans="1:73" ht="15.75">
      <c r="A41" s="9"/>
      <c r="D41" s="9"/>
      <c r="H41" s="9"/>
      <c r="L41" s="9"/>
      <c r="M41" s="9"/>
      <c r="N41" s="9"/>
      <c r="O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row>
    <row r="42" spans="1:73" ht="15.75">
      <c r="L42" s="9"/>
      <c r="M42" s="9"/>
      <c r="N42" s="9"/>
      <c r="O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row>
    <row r="43" spans="1:73" ht="15.75">
      <c r="L43" s="9"/>
      <c r="M43" s="9"/>
      <c r="N43" s="9"/>
      <c r="O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row>
    <row r="44" spans="1:73" ht="15.75">
      <c r="L44" s="9"/>
      <c r="M44" s="9"/>
      <c r="N44" s="9"/>
      <c r="O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row>
    <row r="45" spans="1:73" ht="15.75">
      <c r="L45" s="9"/>
      <c r="M45" s="9"/>
      <c r="N45" s="9"/>
      <c r="O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row>
    <row r="46" spans="1:73" ht="15.75">
      <c r="L46" s="9"/>
      <c r="M46" s="9"/>
      <c r="N46" s="9"/>
      <c r="O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row>
    <row r="47" spans="1:73" ht="15.75">
      <c r="L47" s="9"/>
      <c r="M47" s="9"/>
      <c r="N47" s="9"/>
      <c r="O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row>
    <row r="48" spans="1:73" ht="15.75">
      <c r="E48" s="217"/>
      <c r="F48" s="217"/>
      <c r="G48" s="217"/>
      <c r="H48" s="217"/>
      <c r="I48" s="217"/>
      <c r="J48" s="217"/>
      <c r="K48" s="217"/>
      <c r="L48" s="217"/>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row>
    <row r="49" spans="5:73" ht="15.75">
      <c r="E49" s="217"/>
      <c r="F49" s="217"/>
      <c r="G49" s="217"/>
      <c r="H49" s="217"/>
      <c r="I49" s="217"/>
      <c r="J49" s="217"/>
      <c r="K49" s="217"/>
      <c r="L49" s="217"/>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row>
    <row r="50" spans="5:73" ht="15.75">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row>
    <row r="51" spans="5:73" ht="15.75">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row>
    <row r="52" spans="5:73" ht="15.75">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row>
    <row r="53" spans="5:73" ht="15.75">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row>
    <row r="54" spans="5:73" ht="15.75">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row>
    <row r="55" spans="5:73" ht="15.75">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row>
    <row r="56" spans="5:73" ht="15.75">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row>
    <row r="57" spans="5:73" ht="15.75">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row>
    <row r="58" spans="5:73" ht="15.75">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row>
    <row r="59" spans="5:73" ht="15.75">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row>
    <row r="60" spans="5:73" ht="15.75">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row>
    <row r="61" spans="5:73" ht="15.75">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row>
    <row r="62" spans="5:73" ht="15.75">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row>
    <row r="63" spans="5:73" ht="15.75">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row>
    <row r="64" spans="5:73" ht="15.75">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row>
    <row r="65" spans="1:73" ht="15.75">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row>
    <row r="66" spans="1:73" ht="15.75">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row>
    <row r="67" spans="1:73" ht="15.75">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row>
    <row r="68" spans="1:73" ht="15.75">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row>
    <row r="69" spans="1:73" ht="15.75">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row>
    <row r="70" spans="1:73" ht="15.75">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row>
    <row r="71" spans="1:73" ht="15.75">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row>
    <row r="72" spans="1:73" ht="15.75">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row>
    <row r="73" spans="1:73" ht="15.75">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row>
    <row r="74" spans="1:73" ht="15.75">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row>
    <row r="75" spans="1:73" ht="15.75">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row>
    <row r="76" spans="1:73" ht="15.75">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row>
    <row r="77" spans="1:73" ht="15.7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row>
    <row r="78" spans="1:73" ht="15.7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row>
    <row r="79" spans="1:73" ht="15.7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row>
    <row r="80" spans="1:73" ht="15.75">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row>
    <row r="81" spans="1:73" ht="15.75">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row>
    <row r="82" spans="1:73" ht="15.75">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row>
    <row r="83" spans="1:73" ht="15.75">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row>
    <row r="84" spans="1:73" ht="15.75">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row>
    <row r="85" spans="1:73" ht="15.7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row>
    <row r="86" spans="1:73" ht="15.75">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row>
    <row r="87" spans="1:73" ht="15.75">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row>
    <row r="88" spans="1:73" ht="15.75">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row>
    <row r="89" spans="1:73" ht="15.75">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row>
    <row r="90" spans="1:73" ht="15.75">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row>
    <row r="91" spans="1:73" ht="15.75">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row>
    <row r="92" spans="1:73" ht="15.75">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row>
    <row r="93" spans="1:73" ht="15.75">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row>
    <row r="94" spans="1:73" ht="15.75">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row>
    <row r="95" spans="1:73" ht="15.7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row>
    <row r="96" spans="1:73" ht="15.75">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row>
    <row r="97" spans="1:73" ht="15.75">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row>
    <row r="98" spans="1:73" ht="15.75">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row>
    <row r="99" spans="1:73" ht="15.75">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row>
    <row r="100" spans="1:73" ht="15.7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row>
    <row r="101" spans="1:73" ht="15.7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row>
    <row r="102" spans="1:73" ht="15.7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row>
    <row r="103" spans="1:73" ht="15.7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row>
    <row r="104" spans="1:73" ht="15.7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row>
    <row r="105" spans="1:73" ht="15.7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row>
    <row r="106" spans="1:73" ht="15.7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row>
    <row r="107" spans="1:73" ht="15.7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row>
    <row r="108" spans="1:73" ht="15.7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row>
    <row r="109" spans="1:73" ht="15.7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row>
    <row r="110" spans="1:73" ht="15.7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row>
    <row r="111" spans="1:73" ht="15.7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row>
    <row r="112" spans="1:73" ht="15.7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row>
    <row r="113" spans="1:73" ht="15.7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row>
    <row r="114" spans="1:73" ht="15.7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row>
    <row r="115" spans="1:73" ht="15.7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row>
    <row r="116" spans="1:73" ht="15.7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row>
    <row r="117" spans="1:73" ht="15.7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row>
    <row r="118" spans="1:73" ht="15.7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row>
    <row r="119" spans="1:73" ht="15.7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row>
    <row r="120" spans="1:73" ht="15.7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row>
    <row r="121" spans="1:73" ht="15.7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row>
    <row r="122" spans="1:73" ht="15.7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row>
    <row r="123" spans="1:73" ht="15.7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row>
    <row r="124" spans="1:73" ht="15.7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row>
    <row r="125" spans="1:73" ht="15.7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row>
    <row r="126" spans="1:73" ht="15.7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row>
    <row r="127" spans="1:73" ht="15.7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row>
    <row r="128" spans="1:73" ht="15.7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row>
    <row r="129" spans="1:73" ht="15.7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row>
    <row r="130" spans="1:73" ht="15.7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row>
    <row r="131" spans="1:73" ht="15.7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row>
    <row r="132" spans="1:73" ht="15.7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row>
    <row r="133" spans="1:73" ht="15.7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row>
    <row r="134" spans="1:73" ht="15.7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row>
    <row r="135" spans="1:73" ht="15.7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row>
    <row r="136" spans="1:73" ht="15.7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row>
    <row r="137" spans="1:73" ht="15.7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row>
    <row r="138" spans="1:73" ht="15.7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row>
    <row r="139" spans="1:73" ht="15.7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row>
    <row r="140" spans="1:73" ht="15.7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row>
    <row r="141" spans="1:73" ht="15.7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row>
    <row r="142" spans="1:73" ht="15.7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row>
    <row r="143" spans="1:73" ht="15.7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row>
    <row r="144" spans="1:73" ht="15.7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row>
    <row r="145" spans="1:73" ht="15.7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row>
    <row r="146" spans="1:73" ht="15.7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row>
    <row r="147" spans="1:73" ht="15.7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row>
    <row r="148" spans="1:73" ht="15.7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row>
    <row r="149" spans="1:73" ht="15.7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row>
    <row r="150" spans="1:73" ht="15.7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row>
    <row r="151" spans="1:73" ht="15.7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row>
    <row r="152" spans="1:73" ht="15.7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row>
    <row r="153" spans="1:73" ht="15.7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row>
    <row r="154" spans="1:73" ht="15.7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row>
    <row r="155" spans="1:73" ht="15.7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row>
    <row r="156" spans="1:73" ht="15.7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row>
    <row r="157" spans="1:73" ht="15.7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row>
    <row r="158" spans="1:73" ht="15.7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row>
    <row r="159" spans="1:73" ht="15.7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row>
    <row r="160" spans="1:73" ht="15.7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row>
    <row r="161" spans="1:73" ht="15.7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row>
    <row r="162" spans="1:73" ht="15.7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row>
    <row r="163" spans="1:73" ht="15.7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row>
    <row r="164" spans="1:73" ht="15.7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row>
    <row r="165" spans="1:73" ht="15.7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row>
    <row r="166" spans="1:73" ht="15.7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row>
    <row r="167" spans="1:73" ht="15.7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row>
    <row r="168" spans="1:73" ht="15.7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row>
    <row r="169" spans="1:73" ht="15.7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row>
    <row r="170" spans="1:73" ht="15.7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row>
    <row r="171" spans="1:73" ht="15.7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row>
    <row r="172" spans="1:73" ht="15.7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row>
    <row r="173" spans="1:73" ht="15.7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row>
    <row r="174" spans="1:73" ht="15.7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row>
    <row r="175" spans="1:73" ht="15.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row>
    <row r="176" spans="1:73" ht="15.7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row>
    <row r="177" spans="1:73" ht="15.7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row>
    <row r="178" spans="1:73" ht="15.7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row>
    <row r="179" spans="1:73" ht="15.7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row>
    <row r="180" spans="1:73" ht="15.7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row>
    <row r="181" spans="1:73" ht="15.7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row>
    <row r="182" spans="1:73" ht="15.7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row>
    <row r="183" spans="1:73" ht="15.7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row>
    <row r="184" spans="1:73" ht="15.7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row>
    <row r="185" spans="1:73" ht="15.7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row>
    <row r="186" spans="1:73" ht="15.7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row>
    <row r="187" spans="1:73" ht="15.7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row>
    <row r="188" spans="1:73" ht="15.7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row>
    <row r="189" spans="1:73" ht="15.7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row>
    <row r="190" spans="1:73" ht="15.7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row>
    <row r="191" spans="1:73" ht="15.7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row>
    <row r="192" spans="1:73" ht="15.7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row>
    <row r="193" spans="1:73" ht="15.7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row>
    <row r="194" spans="1:73" ht="15.7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row>
    <row r="195" spans="1:73" ht="15.7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row>
    <row r="196" spans="1:73" ht="15.7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row>
    <row r="197" spans="1:73" ht="15.7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row>
    <row r="198" spans="1:73" ht="15.7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row>
    <row r="199" spans="1:73" ht="15.7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row>
    <row r="200" spans="1:73" ht="15.7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row>
    <row r="201" spans="1:73" ht="15.7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row>
    <row r="202" spans="1:73" ht="15.7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row>
    <row r="203" spans="1:73" ht="15.7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row>
    <row r="204" spans="1:73" ht="15.7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row>
    <row r="205" spans="1:73" ht="15.7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row>
    <row r="206" spans="1:73" ht="15.7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row>
    <row r="207" spans="1:73" ht="15.7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row>
    <row r="208" spans="1:73" ht="15.7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row>
    <row r="209" spans="1:73" ht="15.7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row>
    <row r="210" spans="1:73" ht="15.7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row>
    <row r="211" spans="1:73" ht="15.7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row>
    <row r="212" spans="1:73" ht="15.7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row>
    <row r="213" spans="1:73" ht="15.7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row>
    <row r="214" spans="1:73" ht="15.7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row>
    <row r="215" spans="1:73" ht="15.7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row>
    <row r="216" spans="1:73" ht="15.7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row>
    <row r="217" spans="1:73" ht="15.7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row>
    <row r="218" spans="1:73" ht="15.7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row>
    <row r="219" spans="1:73" ht="15.7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row>
    <row r="220" spans="1:73" ht="15.7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row>
    <row r="221" spans="1:73" ht="15.7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row>
    <row r="222" spans="1:73" ht="15.7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row>
    <row r="223" spans="1:73" ht="15.7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row>
    <row r="224" spans="1:73" ht="15.7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row>
    <row r="225" spans="1:73" ht="15.7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row>
    <row r="226" spans="1:73" ht="15.7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row>
    <row r="227" spans="1:73" ht="15.7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row>
    <row r="228" spans="1:73" ht="15.7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row>
    <row r="229" spans="1:73" ht="15.7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row>
    <row r="230" spans="1:73" ht="15.7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row>
    <row r="231" spans="1:73" ht="15.7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row>
    <row r="232" spans="1:73" ht="15.7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row>
    <row r="233" spans="1:73" ht="15.7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row>
    <row r="234" spans="1:73" ht="15.7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row>
    <row r="235" spans="1:73" ht="15.7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row>
    <row r="236" spans="1:73" ht="15.7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row>
    <row r="237" spans="1:73" ht="15.7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row>
    <row r="238" spans="1:73" ht="15.7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row>
    <row r="239" spans="1:73" ht="15.7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row>
    <row r="240" spans="1:73" ht="15.7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row>
    <row r="241" spans="1:73" ht="15.7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row>
    <row r="242" spans="1:73" ht="15.7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row>
    <row r="243" spans="1:73" ht="15.7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row>
    <row r="244" spans="1:73" ht="15.7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row>
    <row r="245" spans="1:73" ht="15.7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row>
    <row r="246" spans="1:73" ht="15.7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row>
    <row r="247" spans="1:73" ht="15.7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row>
    <row r="248" spans="1:73" ht="15.7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row>
    <row r="249" spans="1:73" ht="15.7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row>
    <row r="250" spans="1:73" ht="15.7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row>
    <row r="251" spans="1:73" ht="15.7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row>
    <row r="252" spans="1:73" ht="15.7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row>
    <row r="253" spans="1:73" ht="15.7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row>
    <row r="254" spans="1:73" ht="15.7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row>
    <row r="255" spans="1:73" ht="15.7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row>
    <row r="256" spans="1:73" ht="15.7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row>
    <row r="257" spans="1:73" ht="15.7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row>
    <row r="258" spans="1:73" ht="15.7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row>
    <row r="259" spans="1:73" ht="15.7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row>
    <row r="260" spans="1:73" ht="15.7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row>
    <row r="261" spans="1:73" ht="15.7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row>
    <row r="262" spans="1:73" ht="15.7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row>
    <row r="263" spans="1:73" ht="15.7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row>
    <row r="264" spans="1:73" ht="15.7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row>
    <row r="265" spans="1:73" ht="15.7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row>
    <row r="266" spans="1:73" ht="15.7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row>
    <row r="267" spans="1:73" ht="15.7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row>
    <row r="268" spans="1:73" ht="15.7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row>
    <row r="269" spans="1:73" ht="15.7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row>
    <row r="270" spans="1:73" ht="15.7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row>
    <row r="271" spans="1:73" ht="15.7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row>
    <row r="272" spans="1:73" ht="15.7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row>
    <row r="273" spans="1:73" ht="15.7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row>
    <row r="274" spans="1:73" ht="15.7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row>
    <row r="275" spans="1:73" ht="15.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row>
    <row r="276" spans="1:73" ht="15.7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row>
    <row r="277" spans="1:73" ht="15.7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row>
    <row r="278" spans="1:73" ht="15.7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row>
    <row r="279" spans="1:73" ht="15.7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row>
    <row r="280" spans="1:73" ht="15.7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row>
    <row r="281" spans="1:73" ht="15.7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row>
    <row r="282" spans="1:73" ht="15.7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row>
    <row r="283" spans="1:73" ht="15.7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row>
    <row r="284" spans="1:73" ht="15.7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row>
    <row r="285" spans="1:73" ht="15.7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row>
    <row r="286" spans="1:73" ht="15.7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row>
    <row r="287" spans="1:73" ht="15.7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row>
    <row r="288" spans="1:73" ht="15.7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row>
    <row r="289" spans="1:73" ht="15.7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row>
    <row r="290" spans="1:73" ht="15.7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row>
    <row r="291" spans="1:73" ht="15.7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row>
    <row r="292" spans="1:73" ht="15.7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row>
    <row r="293" spans="1:73" ht="15.7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row>
    <row r="294" spans="1:73" ht="15.7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row>
    <row r="295" spans="1:73" ht="15.7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row>
    <row r="296" spans="1:73" ht="15.7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row>
    <row r="297" spans="1:73" ht="15.7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row>
    <row r="298" spans="1:73" ht="15.7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row>
    <row r="299" spans="1:73" ht="15.7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row>
    <row r="300" spans="1:73" ht="15.7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row>
    <row r="301" spans="1:73" ht="15.7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row>
    <row r="302" spans="1:73" ht="15.7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row>
    <row r="303" spans="1:73" ht="15.7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row>
    <row r="304" spans="1:73" ht="15.7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row>
    <row r="305" spans="1:73" ht="15.7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row>
    <row r="306" spans="1:73" ht="15.7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row>
    <row r="307" spans="1:73" ht="15.7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row>
    <row r="308" spans="1:73" ht="15.7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row>
    <row r="309" spans="1:73" ht="15.7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row>
    <row r="310" spans="1:73" ht="15.7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row>
    <row r="311" spans="1:73" ht="15.7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row>
    <row r="312" spans="1:73" ht="15.7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row>
    <row r="313" spans="1:73" ht="15.7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row>
    <row r="314" spans="1:73" ht="15.7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row>
    <row r="315" spans="1:73" ht="15.7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row>
    <row r="316" spans="1:73" ht="15.7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row>
    <row r="317" spans="1:73" ht="15.7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row>
    <row r="318" spans="1:73" ht="15.7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row>
    <row r="319" spans="1:73" ht="15.7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row>
    <row r="320" spans="1:73" ht="15.7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row>
    <row r="321" spans="1:73" ht="15.7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row>
    <row r="322" spans="1:73" ht="15.7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row>
    <row r="323" spans="1:73" ht="15.7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row>
    <row r="324" spans="1:73" ht="15.7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row>
    <row r="325" spans="1:73" ht="15.7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row>
    <row r="326" spans="1:73" ht="15.7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row>
    <row r="327" spans="1:73" ht="15.7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row>
    <row r="328" spans="1:73" ht="15.7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row>
    <row r="329" spans="1:73" ht="15.7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row>
    <row r="330" spans="1:73" ht="15.7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row>
    <row r="331" spans="1:73" ht="15.7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row>
    <row r="332" spans="1:73" ht="15.7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row>
    <row r="333" spans="1:73" ht="15.7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row>
    <row r="334" spans="1:73" ht="15.7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row>
    <row r="335" spans="1:73" ht="15.7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row>
    <row r="336" spans="1:73" ht="15.7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row>
    <row r="337" spans="1:73" ht="15.7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row>
    <row r="338" spans="1:73" ht="15.7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row>
    <row r="339" spans="1:73" ht="15.7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row>
    <row r="340" spans="1:73" ht="15.7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row>
    <row r="341" spans="1:73" ht="15.7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row>
    <row r="342" spans="1:73" ht="15.7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row>
    <row r="343" spans="1:73" ht="15.7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row>
    <row r="344" spans="1:73" ht="15.7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row>
    <row r="345" spans="1:73" ht="15.7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row>
    <row r="346" spans="1:73" ht="15.7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row>
    <row r="347" spans="1:73" ht="15.7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row>
    <row r="348" spans="1:73" ht="15.7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row>
    <row r="349" spans="1:73" ht="15.7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row>
    <row r="350" spans="1:73" ht="15.7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row>
    <row r="351" spans="1:73" ht="15.7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row>
    <row r="352" spans="1:73" ht="15.7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row>
    <row r="353" spans="1:73" ht="15.7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row>
    <row r="354" spans="1:73" ht="15.7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row>
    <row r="355" spans="1:73" ht="15.7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row>
    <row r="356" spans="1:73" ht="15.7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row>
    <row r="357" spans="1:73" ht="15.7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row>
    <row r="358" spans="1:73" ht="15.7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row>
    <row r="359" spans="1:73" ht="15.7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row>
    <row r="360" spans="1:73" ht="15.7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row>
    <row r="361" spans="1:73" ht="15.7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row>
    <row r="362" spans="1:73" ht="15.7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row>
    <row r="363" spans="1:73" ht="15.7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row>
    <row r="364" spans="1:73" ht="15.7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row>
    <row r="365" spans="1:73" ht="15.7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row>
    <row r="366" spans="1:73" ht="15.7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row>
    <row r="367" spans="1:73" ht="15.7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row>
    <row r="368" spans="1:73" ht="15.7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row>
    <row r="369" spans="1:73" ht="15.7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row>
    <row r="370" spans="1:73" ht="15.7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row>
    <row r="371" spans="1:73" ht="15.7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row>
    <row r="372" spans="1:73" ht="15.7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row>
    <row r="373" spans="1:73" ht="15.7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row>
    <row r="374" spans="1:73" ht="15.7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row>
    <row r="375" spans="1:73" ht="15.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row>
    <row r="376" spans="1:73" ht="15.7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row>
    <row r="377" spans="1:73" ht="15.7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row>
    <row r="378" spans="1:73" ht="15.7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row>
    <row r="379" spans="1:73" ht="15.7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row>
    <row r="380" spans="1:73" ht="15.7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row>
    <row r="381" spans="1:73" ht="15.7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row>
    <row r="382" spans="1:73" ht="15.7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row>
    <row r="383" spans="1:73" ht="15.7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row>
    <row r="384" spans="1:73" ht="15.7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row>
    <row r="385" spans="1:73" ht="15.7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row>
    <row r="386" spans="1:73" ht="15.7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row>
    <row r="387" spans="1:73" ht="15.7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row>
    <row r="388" spans="1:73" ht="15.7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row>
    <row r="389" spans="1:73" ht="15.7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row>
    <row r="390" spans="1:73" ht="15.7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row>
    <row r="391" spans="1:73" ht="15.7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row>
    <row r="392" spans="1:73" ht="15.7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row>
    <row r="393" spans="1:73" ht="15.7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row>
    <row r="394" spans="1:73" ht="15.7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row>
    <row r="395" spans="1:73" ht="15.7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row>
    <row r="396" spans="1:73" ht="15.7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row>
    <row r="397" spans="1:73" ht="15.7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row>
    <row r="398" spans="1:73" ht="15.7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row>
    <row r="399" spans="1:73" ht="15.7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row>
    <row r="400" spans="1:73" ht="15.7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row>
    <row r="401" spans="1:73" ht="15.7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row>
    <row r="402" spans="1:73" ht="15.7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row>
    <row r="403" spans="1:73" ht="15.7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row>
    <row r="404" spans="1:73" ht="15.7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row>
    <row r="405" spans="1:73" ht="15.7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row>
    <row r="406" spans="1:73" ht="15.7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row>
    <row r="407" spans="1:73" ht="15.7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row>
    <row r="408" spans="1:73" ht="15.7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row>
    <row r="409" spans="1:73" ht="15.7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row>
    <row r="410" spans="1:73" ht="15.7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row>
    <row r="411" spans="1:73" ht="15.7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row>
    <row r="412" spans="1:73" ht="15.7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row>
    <row r="413" spans="1:73" ht="15.7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row>
    <row r="414" spans="1:73" ht="15.7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row>
    <row r="415" spans="1:73" ht="15.7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row>
    <row r="416" spans="1:73" ht="15.7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row>
    <row r="417" spans="1:73" ht="15.7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row>
    <row r="418" spans="1:73" ht="15.7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row>
    <row r="419" spans="1:73" ht="15.7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row>
    <row r="420" spans="1:73" ht="15.7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row>
    <row r="421" spans="1:73" ht="15.7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row>
    <row r="422" spans="1:73" ht="15.7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row>
    <row r="423" spans="1:73" ht="15.7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row>
    <row r="424" spans="1:73" ht="15.7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row>
    <row r="425" spans="1:73" ht="15.7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row>
    <row r="426" spans="1:73" ht="15.7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row>
    <row r="427" spans="1:73" ht="15.7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row>
    <row r="428" spans="1:73" ht="15.7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row>
    <row r="429" spans="1:73" ht="15.7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row>
    <row r="430" spans="1:73" ht="15.7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row>
    <row r="431" spans="1:73" ht="15.7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row>
    <row r="432" spans="1:73" ht="15.7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row>
    <row r="433" spans="1:73" ht="15.7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row>
    <row r="434" spans="1:73" ht="15.7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row>
    <row r="435" spans="1:73" ht="15.7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row>
    <row r="436" spans="1:73" ht="15.7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row>
    <row r="437" spans="1:73" ht="15.7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row>
    <row r="438" spans="1:73" ht="15.7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row>
    <row r="439" spans="1:73" ht="15.7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row>
    <row r="440" spans="1:73" ht="15.7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row>
    <row r="441" spans="1:73" ht="15.7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row>
    <row r="442" spans="1:73" ht="15.7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row>
    <row r="443" spans="1:73" ht="15.7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row>
    <row r="444" spans="1:73" ht="15.7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row>
    <row r="445" spans="1:73" ht="15.7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row>
    <row r="446" spans="1:73" ht="15.7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row>
    <row r="447" spans="1:73" ht="15.7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row>
    <row r="448" spans="1:73" ht="15.7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row>
    <row r="449" spans="1:73" ht="15.7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row>
    <row r="450" spans="1:73" ht="15.7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row>
    <row r="451" spans="1:73" ht="15.7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row>
    <row r="452" spans="1:73" ht="15.7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row>
    <row r="453" spans="1:73" ht="15.7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row>
    <row r="454" spans="1:73" ht="15.7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row>
    <row r="455" spans="1:73" ht="15.7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row>
    <row r="456" spans="1:73" ht="15.7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row>
    <row r="457" spans="1:73" ht="15.7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row>
    <row r="458" spans="1:73" ht="15.7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row>
    <row r="459" spans="1:73" ht="15.7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row>
    <row r="460" spans="1:73" ht="15.7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row>
    <row r="461" spans="1:73" ht="15.7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row>
    <row r="462" spans="1:73" ht="15.7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row>
    <row r="463" spans="1:73" ht="15.7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row>
    <row r="464" spans="1:73" ht="15.7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row>
    <row r="465" spans="1:73" ht="15.7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row>
    <row r="466" spans="1:73" ht="15.7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row>
    <row r="467" spans="1:73" ht="15.7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row>
    <row r="468" spans="1:73" ht="15.7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row>
    <row r="469" spans="1:73" ht="15.7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row>
    <row r="470" spans="1:73" ht="15.7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row>
    <row r="471" spans="1:73" ht="15.7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row>
    <row r="472" spans="1:73" ht="15.7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row>
    <row r="473" spans="1:73" ht="15.7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row>
    <row r="474" spans="1:73" ht="15.7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row>
    <row r="475" spans="1:73" ht="15.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row>
    <row r="476" spans="1:73" ht="15.7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row>
    <row r="477" spans="1:73" ht="15.7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row>
    <row r="478" spans="1:73" ht="15.7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row>
    <row r="479" spans="1:73" ht="15.7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row>
    <row r="480" spans="1:73" ht="15.7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row>
    <row r="481" spans="1:73" ht="15.7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row>
    <row r="482" spans="1:73" ht="15.7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row>
    <row r="483" spans="1:73" ht="15.7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row>
    <row r="484" spans="1:73" ht="15.7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row>
    <row r="485" spans="1:73" ht="15.7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row>
    <row r="486" spans="1:73" ht="15.7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row>
    <row r="487" spans="1:73" ht="15.7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row>
    <row r="488" spans="1:73" ht="15.7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row>
    <row r="489" spans="1:73" ht="15.7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row>
    <row r="490" spans="1:73" ht="15.7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row>
    <row r="491" spans="1:73" ht="15.7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row>
    <row r="492" spans="1:73" ht="15.7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row>
    <row r="493" spans="1:73" ht="15.7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row>
    <row r="494" spans="1:73" ht="15.7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row>
    <row r="495" spans="1:73" ht="15.7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row>
    <row r="496" spans="1:73" ht="15.7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row>
    <row r="497" spans="1:73" ht="15.7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row>
    <row r="498" spans="1:73" ht="15.7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row>
    <row r="499" spans="1:73" ht="15.7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row>
    <row r="500" spans="1:73" ht="15.7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row>
    <row r="501" spans="1:73" ht="15.7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row>
    <row r="502" spans="1:73" ht="15.7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row>
    <row r="503" spans="1:73" ht="15.7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row>
    <row r="504" spans="1:73" ht="15.7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row>
    <row r="505" spans="1:73" ht="15.7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row>
    <row r="506" spans="1:73" ht="15.7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row>
    <row r="507" spans="1:73" ht="15.7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row>
    <row r="508" spans="1:73" ht="15.7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row>
    <row r="509" spans="1:73" ht="15.7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row>
    <row r="510" spans="1:73" ht="15.7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row>
    <row r="511" spans="1:73" ht="15.7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row>
    <row r="512" spans="1:73" ht="15.7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row>
    <row r="513" spans="1:73" ht="15.7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row>
    <row r="514" spans="1:73" ht="15.7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row>
    <row r="515" spans="1:73" ht="15.7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row>
    <row r="516" spans="1:73" ht="15.7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row>
    <row r="517" spans="1:73" ht="15.7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row>
    <row r="518" spans="1:73" ht="15.7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row>
    <row r="519" spans="1:73" ht="15.7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row>
    <row r="520" spans="1:73" ht="15.7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row>
    <row r="521" spans="1:73" ht="15.7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row>
    <row r="522" spans="1:73" ht="15.7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row>
    <row r="523" spans="1:73" ht="15.7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row>
    <row r="524" spans="1:73" ht="15.7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row>
    <row r="525" spans="1:73" ht="15.7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row>
    <row r="526" spans="1:73" ht="15.7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row>
    <row r="527" spans="1:73" ht="15.7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row>
    <row r="528" spans="1:73" ht="15.7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row>
    <row r="529" spans="1:73" ht="15.7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row>
    <row r="530" spans="1:73" ht="15.7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row>
    <row r="531" spans="1:73" ht="15.7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row>
    <row r="532" spans="1:73" ht="15.7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row>
    <row r="533" spans="1:73" ht="15.7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row>
    <row r="534" spans="1:73" ht="15.7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row>
    <row r="535" spans="1:73" ht="15.7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row>
    <row r="536" spans="1:73" ht="15.7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row>
    <row r="537" spans="1:73" ht="15.7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row>
    <row r="538" spans="1:73" ht="15.7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row>
    <row r="539" spans="1:73" ht="15.7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row>
    <row r="540" spans="1:73" ht="15.7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row>
    <row r="541" spans="1:73" ht="15.7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row>
    <row r="542" spans="1:73" ht="15.7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row>
    <row r="543" spans="1:73" ht="15.7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row>
    <row r="544" spans="1:73" ht="15.7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row>
    <row r="545" spans="1:73" ht="15.7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row>
    <row r="546" spans="1:73" ht="15.7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row>
    <row r="547" spans="1:73" ht="15.7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row>
    <row r="548" spans="1:73" ht="15.7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row>
    <row r="549" spans="1:73" ht="15.7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row>
    <row r="550" spans="1:73" ht="15.7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row>
    <row r="551" spans="1:73" ht="15.7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row>
    <row r="552" spans="1:73" ht="15.7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row>
    <row r="553" spans="1:73" ht="15.7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row>
    <row r="554" spans="1:73" ht="15.7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row>
    <row r="555" spans="1:73" ht="15.7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row>
    <row r="556" spans="1:73" ht="15.7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row>
    <row r="557" spans="1:73" ht="15.7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row>
    <row r="558" spans="1:73" ht="15.7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row>
    <row r="559" spans="1:73" ht="15.7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row>
    <row r="560" spans="1:73" ht="15.7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row>
    <row r="561" spans="1:73" ht="15.7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row>
    <row r="562" spans="1:73" ht="15.7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row>
    <row r="563" spans="1:73" ht="15.7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row>
    <row r="564" spans="1:73" ht="15.7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row>
    <row r="565" spans="1:73" ht="15.7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row>
    <row r="566" spans="1:73" ht="15.7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row>
    <row r="567" spans="1:73" ht="15.7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row>
    <row r="568" spans="1:73" ht="15.7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row>
    <row r="569" spans="1:73" ht="15.7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row>
    <row r="570" spans="1:73" ht="15.7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row>
    <row r="571" spans="1:73" ht="15.7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row>
    <row r="572" spans="1:73" ht="15.7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row>
    <row r="573" spans="1:73" ht="15.7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row>
    <row r="574" spans="1:73" ht="15.7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row>
    <row r="575" spans="1:73" ht="1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row>
    <row r="576" spans="1:73" ht="15.7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row>
    <row r="577" spans="1:73" ht="15.7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row>
    <row r="578" spans="1:73" ht="15.7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row>
    <row r="579" spans="1:73" ht="15.7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row>
    <row r="580" spans="1:73" ht="15.7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row>
    <row r="581" spans="1:73" ht="15.7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row>
    <row r="582" spans="1:73" ht="15.7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row>
    <row r="583" spans="1:73" ht="15.7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row>
    <row r="584" spans="1:73" ht="15.7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row>
    <row r="585" spans="1:73" ht="15.7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row>
    <row r="586" spans="1:73" ht="15.7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row>
    <row r="587" spans="1:73" ht="15.7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row>
    <row r="588" spans="1:73" ht="15.7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row>
    <row r="589" spans="1:73" ht="15.7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row>
    <row r="590" spans="1:73" ht="15.7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row>
    <row r="591" spans="1:73" ht="15.7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row>
    <row r="592" spans="1:73" ht="15.7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row>
    <row r="593" spans="1:73" ht="15.7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row>
    <row r="594" spans="1:73" ht="15.7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row>
    <row r="595" spans="1:73" ht="15.7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row>
    <row r="596" spans="1:73" ht="15.7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row>
    <row r="597" spans="1:73" ht="15.7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row>
    <row r="598" spans="1:73" ht="15.7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row>
    <row r="599" spans="1:73" ht="15.7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row>
    <row r="600" spans="1:73" ht="15.7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row>
    <row r="601" spans="1:73" ht="15.7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row>
    <row r="602" spans="1:73" ht="15.7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row>
    <row r="603" spans="1:73" ht="15.7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row>
    <row r="604" spans="1:73" ht="15.7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row>
    <row r="605" spans="1:73" ht="15.7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row>
    <row r="606" spans="1:73" ht="15.7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row>
    <row r="607" spans="1:73" ht="15.7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row>
    <row r="608" spans="1:73" ht="15.7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row>
    <row r="609" spans="1:73" ht="15.7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row>
    <row r="610" spans="1:73" ht="15.7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row>
    <row r="611" spans="1:73" ht="15.7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row>
    <row r="612" spans="1:73" ht="15.7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row>
    <row r="613" spans="1:73" ht="15.7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row>
    <row r="614" spans="1:73" ht="15.7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row>
    <row r="615" spans="1:73" ht="15.7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row>
    <row r="616" spans="1:73" ht="15.7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row>
    <row r="617" spans="1:73" ht="15.7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row>
    <row r="618" spans="1:73" ht="15.7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row>
    <row r="619" spans="1:73" ht="15.7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row>
    <row r="620" spans="1:73" ht="15.7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row>
    <row r="621" spans="1:73" ht="15.7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row>
    <row r="622" spans="1:73" ht="15.7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row>
    <row r="623" spans="1:73" ht="15.7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row>
    <row r="624" spans="1:73" ht="15.7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row>
    <row r="625" spans="1:73" ht="15.7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row>
    <row r="626" spans="1:73" ht="15.7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row>
    <row r="627" spans="1:73" ht="15.7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row>
    <row r="628" spans="1:73" ht="15.7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row>
    <row r="629" spans="1:73" ht="15.7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row>
    <row r="630" spans="1:73" ht="15.7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row>
    <row r="631" spans="1:73" ht="15.7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row>
    <row r="632" spans="1:73" ht="15.7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row>
    <row r="633" spans="1:73" ht="15.7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row>
    <row r="634" spans="1:73" ht="15.7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row>
    <row r="635" spans="1:73" ht="15.7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row>
    <row r="636" spans="1:73" ht="15.7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row>
    <row r="637" spans="1:73" ht="15.7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row>
    <row r="638" spans="1:73" ht="15.7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row>
    <row r="639" spans="1:73" ht="15.7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row>
    <row r="640" spans="1:73" ht="15.7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row>
    <row r="641" spans="1:73" ht="15.7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row>
    <row r="642" spans="1:73" ht="15.7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row>
    <row r="643" spans="1:73" ht="15.7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row>
  </sheetData>
  <mergeCells count="18">
    <mergeCell ref="B2:P2"/>
    <mergeCell ref="O4:Q5"/>
    <mergeCell ref="K19:L19"/>
    <mergeCell ref="O19:P19"/>
    <mergeCell ref="B20:B22"/>
    <mergeCell ref="C20:C22"/>
    <mergeCell ref="B4:C5"/>
    <mergeCell ref="E4:I5"/>
    <mergeCell ref="B11:C12"/>
    <mergeCell ref="E48:L49"/>
    <mergeCell ref="K4:M5"/>
    <mergeCell ref="B24:B25"/>
    <mergeCell ref="C24:C25"/>
    <mergeCell ref="B30:C31"/>
    <mergeCell ref="B17:C18"/>
    <mergeCell ref="B26:C27"/>
    <mergeCell ref="E21:E22"/>
    <mergeCell ref="G21:G22"/>
  </mergeCells>
  <conditionalFormatting sqref="B26:C27">
    <cfRule type="beginsWith" dxfId="286" priority="1" operator="beginsWith" text="UNPAID">
      <formula>LEFT(B26,LEN("UNPAID"))="UNPAID"</formula>
    </cfRule>
    <cfRule type="beginsWith" dxfId="285" priority="2" operator="beginsWith" text="PAID">
      <formula>LEFT(B26,LEN("PAID"))="PAID"</formula>
    </cfRule>
  </conditionalFormatting>
  <pageMargins left="0.70866141732283472" right="0.70866141732283472" top="0.74803149606299213" bottom="0.74803149606299213" header="0.31496062992125984" footer="0.31496062992125984"/>
  <pageSetup scale="24" fitToHeight="8"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2546E3D-75BB-49F5-B4A9-CE5387A7417D}">
          <x14:formula1>
            <xm:f>'Regular Fees '!$E$6:$P$6</xm:f>
          </x14:formula1>
          <xm:sqref>C24</xm:sqref>
        </x14:dataValidation>
        <x14:dataValidation type="list" allowBlank="1" showInputMessage="1" showErrorMessage="1" xr:uid="{8E93143C-04EC-4EA5-9263-D9E4FD9D6DC6}">
          <x14:formula1>
            <xm:f>'Regular Fees '!$B$7:$B$117</xm:f>
          </x14:formula1>
          <xm:sqref>B24</xm:sqref>
        </x14:dataValidation>
        <x14:dataValidation type="list" allowBlank="1" showInputMessage="1" showErrorMessage="1" xr:uid="{2A8D6CC6-30F5-4E8E-AAE0-3218AD8E59FC}">
          <x14:formula1>
            <xm:f>'Regular Fees '!$B$7:$B$116</xm:f>
          </x14:formula1>
          <xm:sqref>B20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830CF-20E8-4547-9865-93F9E4F49898}">
  <sheetPr codeName="Sheet1">
    <tabColor rgb="FF00B050"/>
  </sheetPr>
  <dimension ref="B1:X2"/>
  <sheetViews>
    <sheetView showGridLines="0" showRowColHeaders="0" zoomScale="80" zoomScaleNormal="80" workbookViewId="0">
      <selection activeCell="B2" sqref="B2:X2"/>
    </sheetView>
  </sheetViews>
  <sheetFormatPr defaultColWidth="9.140625" defaultRowHeight="15.75"/>
  <cols>
    <col min="1" max="1" width="1.85546875" style="132" customWidth="1"/>
    <col min="2" max="2" width="20" style="132" bestFit="1" customWidth="1"/>
    <col min="3" max="3" width="7.140625" style="132" bestFit="1" customWidth="1"/>
    <col min="4" max="4" width="12.5703125" style="132" bestFit="1" customWidth="1"/>
    <col min="5" max="16384" width="9.140625" style="132"/>
  </cols>
  <sheetData>
    <row r="1" spans="2:24" ht="6.75" customHeight="1"/>
    <row r="2" spans="2:24" ht="30.75" customHeight="1">
      <c r="B2" s="243" t="s">
        <v>378</v>
      </c>
      <c r="C2" s="244"/>
      <c r="D2" s="244"/>
      <c r="E2" s="244"/>
      <c r="F2" s="244"/>
      <c r="G2" s="244"/>
      <c r="H2" s="244"/>
      <c r="I2" s="244"/>
      <c r="J2" s="244"/>
      <c r="K2" s="244"/>
      <c r="L2" s="244"/>
      <c r="M2" s="244"/>
      <c r="N2" s="244"/>
      <c r="O2" s="244"/>
      <c r="P2" s="244"/>
      <c r="Q2" s="244"/>
      <c r="R2" s="244"/>
      <c r="S2" s="244"/>
      <c r="T2" s="244"/>
      <c r="U2" s="244"/>
      <c r="V2" s="244"/>
      <c r="W2" s="244"/>
      <c r="X2" s="244"/>
    </row>
  </sheetData>
  <mergeCells count="1">
    <mergeCell ref="B2:X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C1AA1-3D38-4102-BE98-7410E9C9E707}">
  <sheetPr codeName="Sheet12">
    <tabColor theme="0" tint="-0.499984740745262"/>
    <pageSetUpPr fitToPage="1"/>
  </sheetPr>
  <dimension ref="A1:AA92"/>
  <sheetViews>
    <sheetView showGridLines="0" showRowColHeaders="0" zoomScale="85" zoomScaleNormal="85" workbookViewId="0">
      <selection sqref="A1:T3"/>
    </sheetView>
  </sheetViews>
  <sheetFormatPr defaultColWidth="9.140625" defaultRowHeight="15.75"/>
  <cols>
    <col min="1" max="7" width="9.140625" style="5"/>
    <col min="8" max="8" width="28.7109375" style="5" bestFit="1" customWidth="1"/>
    <col min="9" max="9" width="22.28515625" style="5" bestFit="1" customWidth="1"/>
    <col min="10" max="11" width="13.5703125" style="5" bestFit="1" customWidth="1"/>
    <col min="12" max="16384" width="9.140625" style="5"/>
  </cols>
  <sheetData>
    <row r="1" spans="1:27" ht="15.75" customHeight="1">
      <c r="A1" s="245" t="s">
        <v>287</v>
      </c>
      <c r="B1" s="245"/>
      <c r="C1" s="245"/>
      <c r="D1" s="245"/>
      <c r="E1" s="245"/>
      <c r="F1" s="245"/>
      <c r="G1" s="245"/>
      <c r="H1" s="245"/>
      <c r="I1" s="245"/>
      <c r="J1" s="245"/>
      <c r="K1" s="245"/>
      <c r="L1" s="245"/>
      <c r="M1" s="245"/>
      <c r="N1" s="245"/>
      <c r="O1" s="245"/>
      <c r="P1" s="245"/>
      <c r="Q1" s="245"/>
      <c r="R1" s="245"/>
      <c r="S1" s="245"/>
      <c r="T1" s="245"/>
      <c r="U1" s="2"/>
      <c r="V1" s="2"/>
      <c r="W1" s="2"/>
      <c r="X1" s="2"/>
      <c r="Y1" s="2"/>
      <c r="Z1" s="2"/>
      <c r="AA1" s="2"/>
    </row>
    <row r="2" spans="1:27" ht="15.75" customHeight="1">
      <c r="A2" s="245"/>
      <c r="B2" s="245"/>
      <c r="C2" s="245"/>
      <c r="D2" s="245"/>
      <c r="E2" s="245"/>
      <c r="F2" s="245"/>
      <c r="G2" s="245"/>
      <c r="H2" s="245"/>
      <c r="I2" s="245"/>
      <c r="J2" s="245"/>
      <c r="K2" s="245"/>
      <c r="L2" s="245"/>
      <c r="M2" s="245"/>
      <c r="N2" s="245"/>
      <c r="O2" s="245"/>
      <c r="P2" s="245"/>
      <c r="Q2" s="245"/>
      <c r="R2" s="245"/>
      <c r="S2" s="245"/>
      <c r="T2" s="245"/>
      <c r="U2" s="2"/>
      <c r="V2" s="2"/>
      <c r="W2" s="2"/>
      <c r="X2" s="2"/>
      <c r="Y2" s="2"/>
      <c r="Z2" s="2"/>
      <c r="AA2" s="2"/>
    </row>
    <row r="3" spans="1:27" ht="15.75" customHeight="1">
      <c r="A3" s="245"/>
      <c r="B3" s="245"/>
      <c r="C3" s="245"/>
      <c r="D3" s="245"/>
      <c r="E3" s="245"/>
      <c r="F3" s="245"/>
      <c r="G3" s="245"/>
      <c r="H3" s="245"/>
      <c r="I3" s="245"/>
      <c r="J3" s="245"/>
      <c r="K3" s="245"/>
      <c r="L3" s="245"/>
      <c r="M3" s="245"/>
      <c r="N3" s="245"/>
      <c r="O3" s="245"/>
      <c r="P3" s="245"/>
      <c r="Q3" s="245"/>
      <c r="R3" s="245"/>
      <c r="S3" s="245"/>
      <c r="T3" s="245"/>
      <c r="U3" s="2"/>
      <c r="V3" s="2"/>
      <c r="W3" s="2"/>
      <c r="X3" s="2"/>
      <c r="Y3" s="2"/>
      <c r="Z3" s="2"/>
      <c r="AA3" s="2"/>
    </row>
    <row r="19" spans="4:14" ht="19.5">
      <c r="D19" s="8"/>
      <c r="E19" s="8"/>
      <c r="F19" s="8"/>
      <c r="G19" s="8"/>
      <c r="H19" s="8"/>
      <c r="I19" s="8"/>
      <c r="J19" s="8"/>
      <c r="K19" s="8"/>
      <c r="L19" s="8"/>
      <c r="M19" s="8"/>
      <c r="N19" s="8"/>
    </row>
    <row r="78" spans="12:12">
      <c r="L78" s="3"/>
    </row>
    <row r="79" spans="12:12">
      <c r="L79" s="3"/>
    </row>
    <row r="80" spans="12:12">
      <c r="L80" s="3"/>
    </row>
    <row r="81" spans="8:12">
      <c r="L81" s="3"/>
    </row>
    <row r="82" spans="8:12">
      <c r="L82" s="3"/>
    </row>
    <row r="83" spans="8:12">
      <c r="H83"/>
      <c r="I83"/>
      <c r="J83"/>
      <c r="K83"/>
      <c r="L83" s="3"/>
    </row>
    <row r="84" spans="8:12">
      <c r="H84"/>
      <c r="I84"/>
      <c r="J84"/>
      <c r="K84"/>
      <c r="L84" s="3"/>
    </row>
    <row r="85" spans="8:12">
      <c r="H85"/>
      <c r="I85"/>
      <c r="J85"/>
      <c r="K85"/>
      <c r="L85" s="3"/>
    </row>
    <row r="86" spans="8:12">
      <c r="H86"/>
      <c r="I86"/>
      <c r="J86"/>
      <c r="K86"/>
      <c r="L86" s="3"/>
    </row>
    <row r="87" spans="8:12">
      <c r="H87"/>
      <c r="I87"/>
      <c r="J87"/>
      <c r="K87"/>
      <c r="L87" s="3"/>
    </row>
    <row r="88" spans="8:12">
      <c r="H88"/>
      <c r="I88"/>
      <c r="J88"/>
      <c r="K88"/>
      <c r="L88" s="3"/>
    </row>
    <row r="89" spans="8:12">
      <c r="H89"/>
      <c r="I89"/>
      <c r="J89"/>
      <c r="K89"/>
      <c r="L89" s="3"/>
    </row>
    <row r="90" spans="8:12">
      <c r="H90"/>
      <c r="I90"/>
      <c r="J90"/>
      <c r="K90"/>
      <c r="L90" s="3"/>
    </row>
    <row r="91" spans="8:12">
      <c r="H91"/>
      <c r="I91"/>
      <c r="J91"/>
      <c r="K91"/>
      <c r="L91" s="3"/>
    </row>
    <row r="92" spans="8:12">
      <c r="H92" s="3"/>
      <c r="I92" s="3"/>
      <c r="J92" s="3"/>
      <c r="K92" s="3"/>
      <c r="L92" s="3"/>
    </row>
  </sheetData>
  <mergeCells count="1">
    <mergeCell ref="A1:T3"/>
  </mergeCells>
  <pageMargins left="0.7" right="0.7" top="0.75" bottom="0.75" header="0.3" footer="0.3"/>
  <pageSetup scale="3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FD339-A95A-4C7F-8048-75CDFCB640B8}">
  <sheetPr codeName="Sheet4">
    <tabColor rgb="FFFFFF00"/>
    <pageSetUpPr fitToPage="1"/>
  </sheetPr>
  <dimension ref="A1:S117"/>
  <sheetViews>
    <sheetView zoomScale="80" zoomScaleNormal="80" workbookViewId="0">
      <selection activeCell="A2" sqref="A2:I2"/>
    </sheetView>
  </sheetViews>
  <sheetFormatPr defaultColWidth="9.140625" defaultRowHeight="15.75"/>
  <cols>
    <col min="1" max="1" width="16" style="9" bestFit="1" customWidth="1"/>
    <col min="2" max="2" width="26.7109375" style="9" customWidth="1"/>
    <col min="3" max="3" width="20" style="9" bestFit="1" customWidth="1"/>
    <col min="4" max="4" width="18.28515625" style="9" customWidth="1"/>
    <col min="5" max="5" width="31.28515625" style="35" customWidth="1"/>
    <col min="6" max="6" width="15.42578125" style="9" bestFit="1" customWidth="1"/>
    <col min="7" max="7" width="32.85546875" style="9" bestFit="1" customWidth="1"/>
    <col min="8" max="8" width="27.7109375" style="9" bestFit="1" customWidth="1"/>
    <col min="9" max="9" width="19.140625" style="9" customWidth="1"/>
    <col min="10" max="10" width="9" style="9" customWidth="1"/>
    <col min="11" max="11" width="19.140625" style="9" customWidth="1"/>
    <col min="12" max="12" width="17.5703125" style="9" customWidth="1"/>
    <col min="13" max="13" width="23.140625" style="9" bestFit="1" customWidth="1"/>
    <col min="14" max="16384" width="9.140625" style="9"/>
  </cols>
  <sheetData>
    <row r="1" spans="1:19" ht="5.25" customHeight="1" thickBot="1">
      <c r="A1" s="11"/>
      <c r="B1" s="11"/>
      <c r="C1" s="11"/>
      <c r="D1" s="11"/>
      <c r="E1" s="11"/>
      <c r="F1" s="11"/>
      <c r="G1" s="11"/>
      <c r="H1" s="11"/>
      <c r="I1" s="11"/>
    </row>
    <row r="2" spans="1:19" ht="33" customHeight="1" thickBot="1">
      <c r="A2" s="138" t="s">
        <v>368</v>
      </c>
      <c r="B2" s="232"/>
      <c r="C2" s="232"/>
      <c r="D2" s="232"/>
      <c r="E2" s="232"/>
      <c r="F2" s="232"/>
      <c r="G2" s="232"/>
      <c r="H2" s="232"/>
      <c r="I2" s="233"/>
      <c r="J2" s="129"/>
      <c r="K2" s="129"/>
      <c r="L2" s="129"/>
      <c r="M2" s="129"/>
      <c r="N2" s="129"/>
      <c r="O2" s="129"/>
      <c r="P2" s="129"/>
      <c r="Q2" s="129"/>
      <c r="R2" s="129"/>
      <c r="S2" s="129"/>
    </row>
    <row r="3" spans="1:19" ht="0.75" customHeight="1">
      <c r="A3" s="11"/>
      <c r="B3" s="11"/>
      <c r="C3" s="11"/>
      <c r="D3" s="11"/>
      <c r="E3" s="11"/>
      <c r="F3" s="11"/>
      <c r="G3" s="11"/>
      <c r="H3" s="11"/>
      <c r="I3" s="11"/>
    </row>
    <row r="4" spans="1:19" ht="15.75" hidden="1" customHeight="1">
      <c r="A4" s="11"/>
      <c r="B4" s="11"/>
      <c r="C4" s="11"/>
      <c r="D4" s="11"/>
      <c r="E4" s="11"/>
      <c r="F4" s="11"/>
      <c r="G4" s="11"/>
      <c r="H4" s="11"/>
      <c r="I4" s="11"/>
    </row>
    <row r="5" spans="1:19" ht="0.75" customHeight="1"/>
    <row r="7" spans="1:19">
      <c r="A7" s="23" t="s">
        <v>0</v>
      </c>
      <c r="B7" s="23" t="s">
        <v>1</v>
      </c>
      <c r="C7" s="23" t="s">
        <v>2</v>
      </c>
      <c r="D7" s="23" t="s">
        <v>3</v>
      </c>
      <c r="E7" s="24" t="s">
        <v>4</v>
      </c>
      <c r="F7" s="23" t="s">
        <v>5</v>
      </c>
      <c r="G7" s="25" t="s">
        <v>6</v>
      </c>
      <c r="H7" s="26" t="s">
        <v>204</v>
      </c>
      <c r="I7" s="26" t="s">
        <v>227</v>
      </c>
    </row>
    <row r="8" spans="1:19">
      <c r="A8" s="27">
        <f t="shared" ref="A8:A39" si="0">ROW()-7</f>
        <v>1</v>
      </c>
      <c r="B8" s="27" t="str">
        <f>"Student "&amp;(ROW()-7)</f>
        <v>Student 1</v>
      </c>
      <c r="C8" s="27" t="s">
        <v>186</v>
      </c>
      <c r="D8" s="27" t="s">
        <v>199</v>
      </c>
      <c r="E8" s="28">
        <v>200</v>
      </c>
      <c r="F8" s="27" t="s">
        <v>190</v>
      </c>
      <c r="G8" s="29">
        <v>46174</v>
      </c>
      <c r="H8" s="30" t="s">
        <v>199</v>
      </c>
      <c r="I8" s="30" t="s">
        <v>228</v>
      </c>
    </row>
    <row r="9" spans="1:19">
      <c r="A9" s="27">
        <f t="shared" si="0"/>
        <v>2</v>
      </c>
      <c r="B9" s="27" t="str">
        <f t="shared" ref="B9:B72" si="1">"Student "&amp;(ROW()-7)</f>
        <v>Student 2</v>
      </c>
      <c r="C9" s="27" t="s">
        <v>187</v>
      </c>
      <c r="D9" s="27" t="s">
        <v>199</v>
      </c>
      <c r="E9" s="28">
        <v>400</v>
      </c>
      <c r="F9" s="27" t="s">
        <v>190</v>
      </c>
      <c r="G9" s="29">
        <v>46174</v>
      </c>
      <c r="H9" s="30" t="s">
        <v>199</v>
      </c>
      <c r="I9" s="30" t="s">
        <v>228</v>
      </c>
    </row>
    <row r="10" spans="1:19">
      <c r="A10" s="27">
        <f t="shared" si="0"/>
        <v>3</v>
      </c>
      <c r="B10" s="27" t="str">
        <f t="shared" si="1"/>
        <v>Student 3</v>
      </c>
      <c r="C10" s="27" t="s">
        <v>188</v>
      </c>
      <c r="D10" s="27" t="s">
        <v>199</v>
      </c>
      <c r="E10" s="28">
        <v>400</v>
      </c>
      <c r="F10" s="27" t="s">
        <v>190</v>
      </c>
      <c r="G10" s="29">
        <v>46174</v>
      </c>
      <c r="H10" s="30" t="s">
        <v>199</v>
      </c>
      <c r="I10" s="30" t="s">
        <v>228</v>
      </c>
      <c r="L10" s="31"/>
    </row>
    <row r="11" spans="1:19">
      <c r="A11" s="27">
        <f t="shared" si="0"/>
        <v>4</v>
      </c>
      <c r="B11" s="27" t="str">
        <f t="shared" si="1"/>
        <v>Student 4</v>
      </c>
      <c r="C11" s="27" t="s">
        <v>186</v>
      </c>
      <c r="D11" s="27" t="s">
        <v>199</v>
      </c>
      <c r="E11" s="28">
        <v>0</v>
      </c>
      <c r="F11" s="27" t="s">
        <v>190</v>
      </c>
      <c r="G11" s="29">
        <v>46174</v>
      </c>
      <c r="H11" s="30" t="s">
        <v>199</v>
      </c>
      <c r="I11" s="30" t="s">
        <v>228</v>
      </c>
      <c r="L11" s="31"/>
    </row>
    <row r="12" spans="1:19">
      <c r="A12" s="27">
        <f t="shared" si="0"/>
        <v>5</v>
      </c>
      <c r="B12" s="27" t="str">
        <f t="shared" si="1"/>
        <v>Student 5</v>
      </c>
      <c r="C12" s="27" t="s">
        <v>189</v>
      </c>
      <c r="D12" s="27" t="s">
        <v>199</v>
      </c>
      <c r="E12" s="28">
        <v>800</v>
      </c>
      <c r="F12" s="27" t="s">
        <v>190</v>
      </c>
      <c r="G12" s="29">
        <v>46174</v>
      </c>
      <c r="H12" s="30" t="s">
        <v>199</v>
      </c>
      <c r="I12" s="30" t="s">
        <v>229</v>
      </c>
      <c r="L12" s="31"/>
    </row>
    <row r="13" spans="1:19">
      <c r="A13" s="27">
        <f t="shared" si="0"/>
        <v>6</v>
      </c>
      <c r="B13" s="27" t="str">
        <f t="shared" si="1"/>
        <v>Student 6</v>
      </c>
      <c r="C13" s="27" t="s">
        <v>193</v>
      </c>
      <c r="D13" s="27" t="s">
        <v>199</v>
      </c>
      <c r="E13" s="28">
        <v>900</v>
      </c>
      <c r="F13" s="27" t="s">
        <v>190</v>
      </c>
      <c r="G13" s="29">
        <v>46174</v>
      </c>
      <c r="H13" s="30" t="s">
        <v>199</v>
      </c>
      <c r="I13" s="30" t="s">
        <v>229</v>
      </c>
      <c r="L13" s="31"/>
    </row>
    <row r="14" spans="1:19">
      <c r="A14" s="27">
        <f t="shared" si="0"/>
        <v>7</v>
      </c>
      <c r="B14" s="27" t="str">
        <f t="shared" si="1"/>
        <v>Student 7</v>
      </c>
      <c r="C14" s="27" t="s">
        <v>194</v>
      </c>
      <c r="D14" s="27" t="s">
        <v>199</v>
      </c>
      <c r="E14" s="28">
        <v>600</v>
      </c>
      <c r="F14" s="27" t="s">
        <v>190</v>
      </c>
      <c r="G14" s="29">
        <v>46174</v>
      </c>
      <c r="H14" s="30" t="s">
        <v>199</v>
      </c>
      <c r="I14" s="30" t="s">
        <v>229</v>
      </c>
    </row>
    <row r="15" spans="1:19">
      <c r="A15" s="27">
        <f t="shared" si="0"/>
        <v>8</v>
      </c>
      <c r="B15" s="27" t="str">
        <f t="shared" si="1"/>
        <v>Student 8</v>
      </c>
      <c r="C15" s="27" t="s">
        <v>188</v>
      </c>
      <c r="D15" s="27" t="s">
        <v>199</v>
      </c>
      <c r="E15" s="28">
        <v>250</v>
      </c>
      <c r="F15" s="27" t="s">
        <v>190</v>
      </c>
      <c r="G15" s="29">
        <v>46174</v>
      </c>
      <c r="H15" s="30" t="s">
        <v>199</v>
      </c>
      <c r="I15" s="30" t="s">
        <v>228</v>
      </c>
    </row>
    <row r="16" spans="1:19">
      <c r="A16" s="27">
        <f t="shared" si="0"/>
        <v>9</v>
      </c>
      <c r="B16" s="27" t="str">
        <f t="shared" si="1"/>
        <v>Student 9</v>
      </c>
      <c r="C16" s="27" t="s">
        <v>186</v>
      </c>
      <c r="D16" s="27" t="s">
        <v>199</v>
      </c>
      <c r="E16" s="28">
        <v>0</v>
      </c>
      <c r="F16" s="27" t="s">
        <v>190</v>
      </c>
      <c r="G16" s="29">
        <v>46174</v>
      </c>
      <c r="H16" s="30" t="s">
        <v>199</v>
      </c>
      <c r="I16" s="30" t="s">
        <v>228</v>
      </c>
    </row>
    <row r="17" spans="1:9">
      <c r="A17" s="27">
        <f t="shared" si="0"/>
        <v>10</v>
      </c>
      <c r="B17" s="27" t="str">
        <f t="shared" si="1"/>
        <v>Student 10</v>
      </c>
      <c r="C17" s="27" t="s">
        <v>195</v>
      </c>
      <c r="D17" s="27" t="s">
        <v>199</v>
      </c>
      <c r="E17" s="28">
        <v>1300</v>
      </c>
      <c r="F17" s="32" t="s">
        <v>226</v>
      </c>
      <c r="G17" s="29">
        <v>46174</v>
      </c>
      <c r="H17" s="30">
        <v>46193</v>
      </c>
      <c r="I17" s="30" t="s">
        <v>229</v>
      </c>
    </row>
    <row r="18" spans="1:9">
      <c r="A18" s="27">
        <f t="shared" si="0"/>
        <v>11</v>
      </c>
      <c r="B18" s="27" t="str">
        <f t="shared" si="1"/>
        <v>Student 11</v>
      </c>
      <c r="C18" s="27" t="s">
        <v>189</v>
      </c>
      <c r="D18" s="27" t="s">
        <v>199</v>
      </c>
      <c r="E18" s="28">
        <v>800</v>
      </c>
      <c r="F18" s="27" t="s">
        <v>190</v>
      </c>
      <c r="G18" s="29">
        <v>46202</v>
      </c>
      <c r="H18" s="30" t="s">
        <v>199</v>
      </c>
      <c r="I18" s="30" t="s">
        <v>229</v>
      </c>
    </row>
    <row r="19" spans="1:9">
      <c r="A19" s="27">
        <f t="shared" si="0"/>
        <v>12</v>
      </c>
      <c r="B19" s="27" t="str">
        <f t="shared" si="1"/>
        <v>Student 12</v>
      </c>
      <c r="C19" s="27" t="s">
        <v>197</v>
      </c>
      <c r="D19" s="27" t="s">
        <v>199</v>
      </c>
      <c r="E19" s="28">
        <v>500</v>
      </c>
      <c r="F19" s="27" t="s">
        <v>190</v>
      </c>
      <c r="G19" s="29">
        <v>46202</v>
      </c>
      <c r="H19" s="30" t="s">
        <v>199</v>
      </c>
      <c r="I19" s="30" t="s">
        <v>229</v>
      </c>
    </row>
    <row r="20" spans="1:9">
      <c r="A20" s="27">
        <f t="shared" si="0"/>
        <v>13</v>
      </c>
      <c r="B20" s="27" t="str">
        <f t="shared" si="1"/>
        <v>Student 13</v>
      </c>
      <c r="C20" s="27" t="s">
        <v>188</v>
      </c>
      <c r="D20" s="27" t="s">
        <v>199</v>
      </c>
      <c r="E20" s="28">
        <v>200</v>
      </c>
      <c r="F20" s="27" t="s">
        <v>190</v>
      </c>
      <c r="G20" s="29">
        <v>46174</v>
      </c>
      <c r="H20" s="30" t="s">
        <v>199</v>
      </c>
      <c r="I20" s="30" t="s">
        <v>228</v>
      </c>
    </row>
    <row r="21" spans="1:9">
      <c r="A21" s="27">
        <f t="shared" si="0"/>
        <v>14</v>
      </c>
      <c r="B21" s="27" t="str">
        <f t="shared" si="1"/>
        <v>Student 14</v>
      </c>
      <c r="C21" s="27" t="s">
        <v>187</v>
      </c>
      <c r="D21" s="27" t="s">
        <v>199</v>
      </c>
      <c r="E21" s="28">
        <v>400</v>
      </c>
      <c r="F21" s="27" t="s">
        <v>190</v>
      </c>
      <c r="G21" s="29">
        <v>46174</v>
      </c>
      <c r="H21" s="30" t="s">
        <v>199</v>
      </c>
      <c r="I21" s="30" t="s">
        <v>228</v>
      </c>
    </row>
    <row r="22" spans="1:9">
      <c r="A22" s="27">
        <f t="shared" si="0"/>
        <v>15</v>
      </c>
      <c r="B22" s="27" t="str">
        <f t="shared" si="1"/>
        <v>Student 15</v>
      </c>
      <c r="C22" s="27" t="s">
        <v>198</v>
      </c>
      <c r="D22" s="27" t="s">
        <v>199</v>
      </c>
      <c r="E22" s="28">
        <v>300</v>
      </c>
      <c r="F22" s="27" t="s">
        <v>190</v>
      </c>
      <c r="G22" s="29">
        <v>46174</v>
      </c>
      <c r="H22" s="30" t="s">
        <v>199</v>
      </c>
      <c r="I22" s="30" t="s">
        <v>228</v>
      </c>
    </row>
    <row r="23" spans="1:9">
      <c r="A23" s="27">
        <f t="shared" si="0"/>
        <v>16</v>
      </c>
      <c r="B23" s="27" t="str">
        <f t="shared" si="1"/>
        <v>Student 16</v>
      </c>
      <c r="C23" s="27" t="s">
        <v>195</v>
      </c>
      <c r="D23" s="27" t="s">
        <v>199</v>
      </c>
      <c r="E23" s="28">
        <v>1200</v>
      </c>
      <c r="F23" s="27" t="s">
        <v>190</v>
      </c>
      <c r="G23" s="29">
        <v>46113</v>
      </c>
      <c r="H23" s="30" t="s">
        <v>199</v>
      </c>
      <c r="I23" s="30" t="s">
        <v>229</v>
      </c>
    </row>
    <row r="24" spans="1:9">
      <c r="A24" s="27">
        <f t="shared" si="0"/>
        <v>17</v>
      </c>
      <c r="B24" s="27" t="str">
        <f t="shared" si="1"/>
        <v>Student 17</v>
      </c>
      <c r="C24" s="27" t="s">
        <v>198</v>
      </c>
      <c r="D24" s="27" t="s">
        <v>199</v>
      </c>
      <c r="E24" s="28">
        <v>300</v>
      </c>
      <c r="F24" s="33" t="s">
        <v>190</v>
      </c>
      <c r="G24" s="29">
        <v>46192</v>
      </c>
      <c r="H24" s="30" t="s">
        <v>199</v>
      </c>
      <c r="I24" s="30" t="s">
        <v>228</v>
      </c>
    </row>
    <row r="25" spans="1:9">
      <c r="A25" s="27">
        <f t="shared" si="0"/>
        <v>18</v>
      </c>
      <c r="B25" s="27" t="str">
        <f t="shared" si="1"/>
        <v>Student 18</v>
      </c>
      <c r="C25" s="27" t="s">
        <v>187</v>
      </c>
      <c r="D25" s="27" t="s">
        <v>199</v>
      </c>
      <c r="E25" s="28">
        <v>350</v>
      </c>
      <c r="F25" s="27" t="s">
        <v>190</v>
      </c>
      <c r="G25" s="29">
        <v>46192</v>
      </c>
      <c r="H25" s="30" t="s">
        <v>199</v>
      </c>
      <c r="I25" s="30" t="s">
        <v>228</v>
      </c>
    </row>
    <row r="26" spans="1:9">
      <c r="A26" s="27">
        <f t="shared" si="0"/>
        <v>19</v>
      </c>
      <c r="B26" s="27" t="str">
        <f t="shared" si="1"/>
        <v>Student 19</v>
      </c>
      <c r="C26" s="27" t="s">
        <v>188</v>
      </c>
      <c r="D26" s="27" t="s">
        <v>199</v>
      </c>
      <c r="E26" s="28">
        <v>250</v>
      </c>
      <c r="F26" s="33" t="s">
        <v>190</v>
      </c>
      <c r="G26" s="29">
        <v>46175</v>
      </c>
      <c r="H26" s="30" t="s">
        <v>199</v>
      </c>
      <c r="I26" s="30" t="s">
        <v>228</v>
      </c>
    </row>
    <row r="27" spans="1:9">
      <c r="A27" s="27">
        <f t="shared" si="0"/>
        <v>20</v>
      </c>
      <c r="B27" s="27" t="str">
        <f t="shared" si="1"/>
        <v>Student 20</v>
      </c>
      <c r="C27" s="27" t="s">
        <v>187</v>
      </c>
      <c r="D27" s="27" t="s">
        <v>199</v>
      </c>
      <c r="E27" s="28">
        <v>300</v>
      </c>
      <c r="F27" s="32" t="s">
        <v>190</v>
      </c>
      <c r="G27" s="29">
        <v>46175</v>
      </c>
      <c r="H27" s="30" t="s">
        <v>199</v>
      </c>
      <c r="I27" s="30" t="s">
        <v>228</v>
      </c>
    </row>
    <row r="28" spans="1:9">
      <c r="A28" s="27">
        <f t="shared" si="0"/>
        <v>21</v>
      </c>
      <c r="B28" s="27" t="str">
        <f t="shared" si="1"/>
        <v>Student 21</v>
      </c>
      <c r="C28" s="27" t="s">
        <v>197</v>
      </c>
      <c r="D28" s="27" t="s">
        <v>199</v>
      </c>
      <c r="E28" s="28">
        <v>500</v>
      </c>
      <c r="F28" s="27" t="s">
        <v>226</v>
      </c>
      <c r="G28" s="29">
        <v>46175</v>
      </c>
      <c r="H28" s="30">
        <v>46178</v>
      </c>
      <c r="I28" s="30" t="s">
        <v>229</v>
      </c>
    </row>
    <row r="29" spans="1:9">
      <c r="A29" s="27">
        <f t="shared" si="0"/>
        <v>22</v>
      </c>
      <c r="B29" s="27" t="str">
        <f t="shared" si="1"/>
        <v>Student 22</v>
      </c>
      <c r="C29" s="27" t="s">
        <v>200</v>
      </c>
      <c r="D29" s="27" t="s">
        <v>199</v>
      </c>
      <c r="E29" s="28">
        <v>250</v>
      </c>
      <c r="F29" s="27" t="s">
        <v>226</v>
      </c>
      <c r="G29" s="29">
        <v>46175</v>
      </c>
      <c r="H29" s="30">
        <v>46244</v>
      </c>
      <c r="I29" s="30" t="s">
        <v>228</v>
      </c>
    </row>
    <row r="30" spans="1:9">
      <c r="A30" s="27">
        <f t="shared" si="0"/>
        <v>23</v>
      </c>
      <c r="B30" s="27" t="str">
        <f t="shared" si="1"/>
        <v>Student 23</v>
      </c>
      <c r="C30" s="27" t="s">
        <v>200</v>
      </c>
      <c r="D30" s="27" t="s">
        <v>199</v>
      </c>
      <c r="E30" s="28">
        <v>250</v>
      </c>
      <c r="F30" s="27" t="s">
        <v>190</v>
      </c>
      <c r="G30" s="29">
        <v>46176</v>
      </c>
      <c r="H30" s="30" t="s">
        <v>199</v>
      </c>
      <c r="I30" s="30" t="s">
        <v>228</v>
      </c>
    </row>
    <row r="31" spans="1:9">
      <c r="A31" s="27">
        <f t="shared" si="0"/>
        <v>24</v>
      </c>
      <c r="B31" s="27" t="str">
        <f t="shared" si="1"/>
        <v>Student 24</v>
      </c>
      <c r="C31" s="27" t="s">
        <v>201</v>
      </c>
      <c r="D31" s="27" t="s">
        <v>199</v>
      </c>
      <c r="E31" s="28">
        <v>200</v>
      </c>
      <c r="F31" s="27" t="s">
        <v>190</v>
      </c>
      <c r="G31" s="29">
        <v>46176</v>
      </c>
      <c r="H31" s="30" t="s">
        <v>199</v>
      </c>
      <c r="I31" s="30" t="s">
        <v>229</v>
      </c>
    </row>
    <row r="32" spans="1:9">
      <c r="A32" s="27">
        <f t="shared" si="0"/>
        <v>25</v>
      </c>
      <c r="B32" s="27" t="str">
        <f t="shared" si="1"/>
        <v>Student 25</v>
      </c>
      <c r="C32" s="27" t="s">
        <v>197</v>
      </c>
      <c r="D32" s="27" t="s">
        <v>199</v>
      </c>
      <c r="E32" s="28">
        <v>500</v>
      </c>
      <c r="F32" s="27" t="s">
        <v>190</v>
      </c>
      <c r="G32" s="29">
        <v>46182</v>
      </c>
      <c r="H32" s="30" t="s">
        <v>199</v>
      </c>
      <c r="I32" s="30" t="s">
        <v>229</v>
      </c>
    </row>
    <row r="33" spans="1:9">
      <c r="A33" s="27">
        <f t="shared" si="0"/>
        <v>26</v>
      </c>
      <c r="B33" s="27" t="str">
        <f t="shared" si="1"/>
        <v>Student 26</v>
      </c>
      <c r="C33" s="27" t="s">
        <v>201</v>
      </c>
      <c r="D33" s="27" t="s">
        <v>199</v>
      </c>
      <c r="E33" s="28">
        <v>0</v>
      </c>
      <c r="F33" s="27" t="s">
        <v>190</v>
      </c>
      <c r="G33" s="29">
        <v>46182</v>
      </c>
      <c r="H33" s="30" t="s">
        <v>199</v>
      </c>
      <c r="I33" s="30" t="s">
        <v>229</v>
      </c>
    </row>
    <row r="34" spans="1:9">
      <c r="A34" s="27">
        <f t="shared" si="0"/>
        <v>27</v>
      </c>
      <c r="B34" s="27" t="str">
        <f t="shared" si="1"/>
        <v>Student 27</v>
      </c>
      <c r="C34" s="27" t="s">
        <v>198</v>
      </c>
      <c r="D34" s="27" t="s">
        <v>199</v>
      </c>
      <c r="E34" s="28">
        <v>300</v>
      </c>
      <c r="F34" s="33" t="s">
        <v>190</v>
      </c>
      <c r="G34" s="29">
        <v>46183</v>
      </c>
      <c r="H34" s="30" t="s">
        <v>199</v>
      </c>
      <c r="I34" s="30" t="s">
        <v>229</v>
      </c>
    </row>
    <row r="35" spans="1:9">
      <c r="A35" s="27">
        <f t="shared" si="0"/>
        <v>28</v>
      </c>
      <c r="B35" s="27" t="str">
        <f t="shared" si="1"/>
        <v>Student 28</v>
      </c>
      <c r="C35" s="27" t="s">
        <v>187</v>
      </c>
      <c r="D35" s="27" t="s">
        <v>199</v>
      </c>
      <c r="E35" s="28">
        <v>350</v>
      </c>
      <c r="F35" s="32" t="s">
        <v>190</v>
      </c>
      <c r="G35" s="29">
        <v>46202</v>
      </c>
      <c r="H35" s="30" t="s">
        <v>199</v>
      </c>
      <c r="I35" s="30" t="s">
        <v>228</v>
      </c>
    </row>
    <row r="36" spans="1:9">
      <c r="A36" s="27">
        <f t="shared" si="0"/>
        <v>29</v>
      </c>
      <c r="B36" s="27" t="str">
        <f t="shared" si="1"/>
        <v>Student 29</v>
      </c>
      <c r="C36" s="27" t="s">
        <v>201</v>
      </c>
      <c r="D36" s="27" t="s">
        <v>199</v>
      </c>
      <c r="E36" s="28">
        <v>200</v>
      </c>
      <c r="F36" s="27" t="s">
        <v>190</v>
      </c>
      <c r="G36" s="29">
        <v>46202</v>
      </c>
      <c r="H36" s="30" t="s">
        <v>199</v>
      </c>
      <c r="I36" s="30" t="s">
        <v>229</v>
      </c>
    </row>
    <row r="37" spans="1:9">
      <c r="A37" s="27">
        <f t="shared" si="0"/>
        <v>30</v>
      </c>
      <c r="B37" s="27" t="str">
        <f t="shared" si="1"/>
        <v>Student 30</v>
      </c>
      <c r="C37" s="27" t="s">
        <v>186</v>
      </c>
      <c r="D37" s="27" t="s">
        <v>199</v>
      </c>
      <c r="E37" s="28">
        <v>200</v>
      </c>
      <c r="F37" s="27" t="s">
        <v>226</v>
      </c>
      <c r="G37" s="29">
        <v>46174</v>
      </c>
      <c r="H37" s="30">
        <v>46223</v>
      </c>
      <c r="I37" s="30" t="s">
        <v>229</v>
      </c>
    </row>
    <row r="38" spans="1:9">
      <c r="A38" s="27">
        <f t="shared" si="0"/>
        <v>31</v>
      </c>
      <c r="B38" s="27" t="str">
        <f t="shared" si="1"/>
        <v>Student 31</v>
      </c>
      <c r="C38" s="27" t="s">
        <v>198</v>
      </c>
      <c r="D38" s="27" t="s">
        <v>199</v>
      </c>
      <c r="E38" s="28">
        <v>300</v>
      </c>
      <c r="F38" s="27" t="s">
        <v>190</v>
      </c>
      <c r="G38" s="29">
        <v>46185</v>
      </c>
      <c r="H38" s="30" t="s">
        <v>199</v>
      </c>
      <c r="I38" s="30" t="s">
        <v>229</v>
      </c>
    </row>
    <row r="39" spans="1:9">
      <c r="A39" s="27">
        <f t="shared" si="0"/>
        <v>32</v>
      </c>
      <c r="B39" s="27" t="str">
        <f t="shared" si="1"/>
        <v>Student 32</v>
      </c>
      <c r="C39" s="27" t="s">
        <v>201</v>
      </c>
      <c r="D39" s="27" t="s">
        <v>199</v>
      </c>
      <c r="E39" s="28">
        <v>150</v>
      </c>
      <c r="F39" s="27" t="s">
        <v>190</v>
      </c>
      <c r="G39" s="29">
        <v>46185</v>
      </c>
      <c r="H39" s="30" t="s">
        <v>199</v>
      </c>
      <c r="I39" s="30" t="s">
        <v>229</v>
      </c>
    </row>
    <row r="40" spans="1:9">
      <c r="A40" s="27">
        <f t="shared" ref="A40:A71" si="2">ROW()-7</f>
        <v>33</v>
      </c>
      <c r="B40" s="27" t="str">
        <f t="shared" si="1"/>
        <v>Student 33</v>
      </c>
      <c r="C40" s="27" t="s">
        <v>186</v>
      </c>
      <c r="D40" s="27" t="s">
        <v>199</v>
      </c>
      <c r="E40" s="28">
        <v>200</v>
      </c>
      <c r="F40" s="33" t="s">
        <v>190</v>
      </c>
      <c r="G40" s="29">
        <v>46185</v>
      </c>
      <c r="H40" s="30" t="s">
        <v>199</v>
      </c>
      <c r="I40" s="30" t="s">
        <v>228</v>
      </c>
    </row>
    <row r="41" spans="1:9">
      <c r="A41" s="27">
        <f t="shared" si="2"/>
        <v>34</v>
      </c>
      <c r="B41" s="27" t="str">
        <f t="shared" si="1"/>
        <v>Student 34</v>
      </c>
      <c r="C41" s="27" t="s">
        <v>186</v>
      </c>
      <c r="D41" s="27" t="s">
        <v>199</v>
      </c>
      <c r="E41" s="28">
        <v>150</v>
      </c>
      <c r="F41" s="27" t="s">
        <v>190</v>
      </c>
      <c r="G41" s="29">
        <v>46174</v>
      </c>
      <c r="H41" s="30" t="s">
        <v>199</v>
      </c>
      <c r="I41" s="30" t="s">
        <v>228</v>
      </c>
    </row>
    <row r="42" spans="1:9">
      <c r="A42" s="27">
        <f t="shared" si="2"/>
        <v>35</v>
      </c>
      <c r="B42" s="27" t="str">
        <f t="shared" si="1"/>
        <v>Student 35</v>
      </c>
      <c r="C42" s="27" t="s">
        <v>193</v>
      </c>
      <c r="D42" s="27" t="s">
        <v>199</v>
      </c>
      <c r="E42" s="28">
        <v>900</v>
      </c>
      <c r="F42" s="27" t="s">
        <v>190</v>
      </c>
      <c r="G42" s="29">
        <v>46188</v>
      </c>
      <c r="H42" s="30" t="s">
        <v>199</v>
      </c>
      <c r="I42" s="30" t="s">
        <v>229</v>
      </c>
    </row>
    <row r="43" spans="1:9">
      <c r="A43" s="27">
        <f t="shared" si="2"/>
        <v>36</v>
      </c>
      <c r="B43" s="27" t="str">
        <f t="shared" si="1"/>
        <v>Student 36</v>
      </c>
      <c r="C43" s="27" t="s">
        <v>198</v>
      </c>
      <c r="D43" s="27" t="s">
        <v>199</v>
      </c>
      <c r="E43" s="28">
        <v>250</v>
      </c>
      <c r="F43" s="27" t="s">
        <v>190</v>
      </c>
      <c r="G43" s="29">
        <v>46195</v>
      </c>
      <c r="H43" s="30" t="s">
        <v>199</v>
      </c>
      <c r="I43" s="30" t="s">
        <v>229</v>
      </c>
    </row>
    <row r="44" spans="1:9">
      <c r="A44" s="27">
        <f t="shared" si="2"/>
        <v>37</v>
      </c>
      <c r="B44" s="27" t="str">
        <f t="shared" si="1"/>
        <v>Student 37</v>
      </c>
      <c r="C44" s="27" t="s">
        <v>188</v>
      </c>
      <c r="D44" s="27" t="s">
        <v>199</v>
      </c>
      <c r="E44" s="28">
        <v>200</v>
      </c>
      <c r="F44" s="27" t="s">
        <v>190</v>
      </c>
      <c r="G44" s="29">
        <v>46195</v>
      </c>
      <c r="H44" s="30" t="s">
        <v>199</v>
      </c>
      <c r="I44" s="30" t="s">
        <v>229</v>
      </c>
    </row>
    <row r="45" spans="1:9">
      <c r="A45" s="27">
        <f t="shared" si="2"/>
        <v>38</v>
      </c>
      <c r="B45" s="27" t="str">
        <f t="shared" si="1"/>
        <v>Student 38</v>
      </c>
      <c r="C45" s="27" t="s">
        <v>198</v>
      </c>
      <c r="D45" s="27" t="s">
        <v>199</v>
      </c>
      <c r="E45" s="28">
        <v>250</v>
      </c>
      <c r="F45" s="27" t="s">
        <v>190</v>
      </c>
      <c r="G45" s="29">
        <v>46196</v>
      </c>
      <c r="H45" s="30" t="s">
        <v>199</v>
      </c>
      <c r="I45" s="30" t="s">
        <v>228</v>
      </c>
    </row>
    <row r="46" spans="1:9">
      <c r="A46" s="27">
        <f t="shared" si="2"/>
        <v>39</v>
      </c>
      <c r="B46" s="27" t="str">
        <f t="shared" si="1"/>
        <v>Student 39</v>
      </c>
      <c r="C46" s="27" t="s">
        <v>201</v>
      </c>
      <c r="D46" s="27" t="s">
        <v>199</v>
      </c>
      <c r="E46" s="28">
        <v>200</v>
      </c>
      <c r="F46" s="27" t="s">
        <v>190</v>
      </c>
      <c r="G46" s="29">
        <v>46196</v>
      </c>
      <c r="H46" s="30" t="s">
        <v>199</v>
      </c>
      <c r="I46" s="30" t="s">
        <v>228</v>
      </c>
    </row>
    <row r="47" spans="1:9">
      <c r="A47" s="27">
        <f t="shared" si="2"/>
        <v>40</v>
      </c>
      <c r="B47" s="27" t="str">
        <f t="shared" si="1"/>
        <v>Student 40</v>
      </c>
      <c r="C47" s="27" t="s">
        <v>197</v>
      </c>
      <c r="D47" s="27" t="s">
        <v>199</v>
      </c>
      <c r="E47" s="28">
        <v>500</v>
      </c>
      <c r="F47" s="27" t="s">
        <v>190</v>
      </c>
      <c r="G47" s="29">
        <v>46198</v>
      </c>
      <c r="H47" s="30" t="s">
        <v>199</v>
      </c>
      <c r="I47" s="30" t="s">
        <v>229</v>
      </c>
    </row>
    <row r="48" spans="1:9">
      <c r="A48" s="27">
        <f t="shared" si="2"/>
        <v>41</v>
      </c>
      <c r="B48" s="27" t="str">
        <f t="shared" si="1"/>
        <v>Student 41</v>
      </c>
      <c r="C48" s="27" t="s">
        <v>187</v>
      </c>
      <c r="D48" s="27" t="s">
        <v>199</v>
      </c>
      <c r="E48" s="28">
        <v>400</v>
      </c>
      <c r="F48" s="27" t="s">
        <v>190</v>
      </c>
      <c r="G48" s="29">
        <v>46198</v>
      </c>
      <c r="H48" s="30" t="s">
        <v>199</v>
      </c>
      <c r="I48" s="30" t="s">
        <v>229</v>
      </c>
    </row>
    <row r="49" spans="1:12">
      <c r="A49" s="27">
        <f t="shared" si="2"/>
        <v>42</v>
      </c>
      <c r="B49" s="27" t="str">
        <f t="shared" si="1"/>
        <v>Student 42</v>
      </c>
      <c r="C49" s="27" t="s">
        <v>200</v>
      </c>
      <c r="D49" s="27" t="s">
        <v>199</v>
      </c>
      <c r="E49" s="28">
        <v>300</v>
      </c>
      <c r="F49" s="32" t="s">
        <v>190</v>
      </c>
      <c r="G49" s="29">
        <v>46202</v>
      </c>
      <c r="H49" s="30" t="s">
        <v>199</v>
      </c>
      <c r="I49" s="30" t="s">
        <v>228</v>
      </c>
    </row>
    <row r="50" spans="1:12">
      <c r="A50" s="27">
        <f t="shared" si="2"/>
        <v>43</v>
      </c>
      <c r="B50" s="27" t="str">
        <f t="shared" si="1"/>
        <v>Student 43</v>
      </c>
      <c r="C50" s="27" t="s">
        <v>186</v>
      </c>
      <c r="D50" s="27" t="s">
        <v>199</v>
      </c>
      <c r="E50" s="28">
        <v>200</v>
      </c>
      <c r="F50" s="33" t="s">
        <v>190</v>
      </c>
      <c r="G50" s="29">
        <v>46202</v>
      </c>
      <c r="H50" s="30" t="s">
        <v>199</v>
      </c>
      <c r="I50" s="30" t="s">
        <v>228</v>
      </c>
    </row>
    <row r="51" spans="1:12">
      <c r="A51" s="27">
        <f t="shared" si="2"/>
        <v>44</v>
      </c>
      <c r="B51" s="27" t="str">
        <f t="shared" si="1"/>
        <v>Student 44</v>
      </c>
      <c r="C51" s="27" t="s">
        <v>187</v>
      </c>
      <c r="D51" s="27" t="s">
        <v>199</v>
      </c>
      <c r="E51" s="28">
        <v>350</v>
      </c>
      <c r="F51" s="32" t="s">
        <v>190</v>
      </c>
      <c r="G51" s="29">
        <v>46204</v>
      </c>
      <c r="H51" s="30" t="s">
        <v>199</v>
      </c>
      <c r="I51" s="30" t="s">
        <v>228</v>
      </c>
    </row>
    <row r="52" spans="1:12">
      <c r="A52" s="27">
        <f t="shared" si="2"/>
        <v>45</v>
      </c>
      <c r="B52" s="27" t="str">
        <f t="shared" si="1"/>
        <v>Student 45</v>
      </c>
      <c r="C52" s="27" t="s">
        <v>188</v>
      </c>
      <c r="D52" s="27" t="s">
        <v>199</v>
      </c>
      <c r="E52" s="28">
        <v>200</v>
      </c>
      <c r="F52" s="33" t="s">
        <v>190</v>
      </c>
      <c r="G52" s="29">
        <v>46204</v>
      </c>
      <c r="H52" s="30" t="s">
        <v>199</v>
      </c>
      <c r="I52" s="30" t="s">
        <v>228</v>
      </c>
      <c r="L52" s="31"/>
    </row>
    <row r="53" spans="1:12">
      <c r="A53" s="27">
        <f t="shared" si="2"/>
        <v>46</v>
      </c>
      <c r="B53" s="27" t="str">
        <f t="shared" si="1"/>
        <v>Student 46</v>
      </c>
      <c r="C53" s="27" t="s">
        <v>197</v>
      </c>
      <c r="D53" s="27" t="s">
        <v>199</v>
      </c>
      <c r="E53" s="28">
        <v>500</v>
      </c>
      <c r="F53" s="32" t="s">
        <v>190</v>
      </c>
      <c r="G53" s="29">
        <v>46202</v>
      </c>
      <c r="H53" s="30" t="s">
        <v>199</v>
      </c>
      <c r="I53" s="30" t="s">
        <v>229</v>
      </c>
      <c r="L53" s="31"/>
    </row>
    <row r="54" spans="1:12">
      <c r="A54" s="27">
        <f t="shared" si="2"/>
        <v>47</v>
      </c>
      <c r="B54" s="27" t="str">
        <f t="shared" si="1"/>
        <v>Student 47</v>
      </c>
      <c r="C54" s="27" t="s">
        <v>198</v>
      </c>
      <c r="D54" s="27" t="s">
        <v>199</v>
      </c>
      <c r="E54" s="28">
        <v>300</v>
      </c>
      <c r="F54" s="33" t="s">
        <v>190</v>
      </c>
      <c r="G54" s="29">
        <v>46202</v>
      </c>
      <c r="H54" s="30" t="s">
        <v>199</v>
      </c>
      <c r="I54" s="30" t="s">
        <v>229</v>
      </c>
      <c r="L54" s="31"/>
    </row>
    <row r="55" spans="1:12">
      <c r="A55" s="27">
        <f t="shared" si="2"/>
        <v>48</v>
      </c>
      <c r="B55" s="27" t="str">
        <f t="shared" si="1"/>
        <v>Student 48</v>
      </c>
      <c r="C55" s="27" t="s">
        <v>197</v>
      </c>
      <c r="D55" s="27" t="s">
        <v>199</v>
      </c>
      <c r="E55" s="28">
        <v>500</v>
      </c>
      <c r="F55" s="32" t="s">
        <v>190</v>
      </c>
      <c r="G55" s="29">
        <v>46202</v>
      </c>
      <c r="H55" s="30" t="s">
        <v>199</v>
      </c>
      <c r="I55" s="30" t="s">
        <v>229</v>
      </c>
    </row>
    <row r="56" spans="1:12">
      <c r="A56" s="27">
        <f t="shared" si="2"/>
        <v>49</v>
      </c>
      <c r="B56" s="27" t="str">
        <f t="shared" si="1"/>
        <v>Student 49</v>
      </c>
      <c r="C56" s="27" t="s">
        <v>189</v>
      </c>
      <c r="D56" s="27" t="s">
        <v>199</v>
      </c>
      <c r="E56" s="28">
        <v>800</v>
      </c>
      <c r="F56" s="33" t="s">
        <v>226</v>
      </c>
      <c r="G56" s="29">
        <v>46203</v>
      </c>
      <c r="H56" s="30">
        <v>46230</v>
      </c>
      <c r="I56" s="30" t="s">
        <v>229</v>
      </c>
    </row>
    <row r="57" spans="1:12">
      <c r="A57" s="27">
        <f t="shared" si="2"/>
        <v>50</v>
      </c>
      <c r="B57" s="27" t="str">
        <f t="shared" si="1"/>
        <v>Student 50</v>
      </c>
      <c r="C57" s="27" t="s">
        <v>187</v>
      </c>
      <c r="D57" s="27" t="s">
        <v>199</v>
      </c>
      <c r="E57" s="28">
        <v>400</v>
      </c>
      <c r="F57" s="32" t="s">
        <v>190</v>
      </c>
      <c r="G57" s="29">
        <v>46205</v>
      </c>
      <c r="H57" s="30" t="s">
        <v>199</v>
      </c>
      <c r="I57" s="30" t="s">
        <v>228</v>
      </c>
    </row>
    <row r="58" spans="1:12">
      <c r="A58" s="27">
        <f t="shared" si="2"/>
        <v>51</v>
      </c>
      <c r="B58" s="27" t="str">
        <f t="shared" si="1"/>
        <v>Student 51</v>
      </c>
      <c r="C58" s="27" t="s">
        <v>187</v>
      </c>
      <c r="D58" s="27" t="s">
        <v>199</v>
      </c>
      <c r="E58" s="28">
        <v>400</v>
      </c>
      <c r="F58" s="27" t="s">
        <v>190</v>
      </c>
      <c r="G58" s="29">
        <v>46205</v>
      </c>
      <c r="H58" s="30" t="s">
        <v>199</v>
      </c>
      <c r="I58" s="30" t="s">
        <v>228</v>
      </c>
      <c r="L58" s="34"/>
    </row>
    <row r="59" spans="1:12">
      <c r="A59" s="27">
        <f t="shared" si="2"/>
        <v>52</v>
      </c>
      <c r="B59" s="27" t="str">
        <f t="shared" si="1"/>
        <v>Student 52</v>
      </c>
      <c r="C59" s="27" t="s">
        <v>198</v>
      </c>
      <c r="D59" s="27" t="s">
        <v>199</v>
      </c>
      <c r="E59" s="28">
        <v>250</v>
      </c>
      <c r="F59" s="32" t="s">
        <v>190</v>
      </c>
      <c r="G59" s="29">
        <v>46206</v>
      </c>
      <c r="H59" s="30" t="s">
        <v>199</v>
      </c>
      <c r="I59" s="30" t="s">
        <v>228</v>
      </c>
      <c r="L59" s="34"/>
    </row>
    <row r="60" spans="1:12">
      <c r="A60" s="27">
        <f t="shared" si="2"/>
        <v>53</v>
      </c>
      <c r="B60" s="27" t="str">
        <f t="shared" si="1"/>
        <v>Student 53</v>
      </c>
      <c r="C60" s="27" t="s">
        <v>197</v>
      </c>
      <c r="D60" s="27" t="s">
        <v>199</v>
      </c>
      <c r="E60" s="28">
        <v>500</v>
      </c>
      <c r="F60" s="33" t="s">
        <v>190</v>
      </c>
      <c r="G60" s="29">
        <v>46211</v>
      </c>
      <c r="H60" s="30" t="s">
        <v>199</v>
      </c>
      <c r="I60" s="30" t="s">
        <v>229</v>
      </c>
      <c r="L60" s="34"/>
    </row>
    <row r="61" spans="1:12">
      <c r="A61" s="27">
        <f t="shared" si="2"/>
        <v>54</v>
      </c>
      <c r="B61" s="27" t="str">
        <f t="shared" si="1"/>
        <v>Student 54</v>
      </c>
      <c r="C61" s="27" t="s">
        <v>187</v>
      </c>
      <c r="D61" s="27" t="s">
        <v>199</v>
      </c>
      <c r="E61" s="28">
        <v>400</v>
      </c>
      <c r="F61" s="32" t="s">
        <v>190</v>
      </c>
      <c r="G61" s="29">
        <v>46212</v>
      </c>
      <c r="H61" s="30" t="s">
        <v>199</v>
      </c>
      <c r="I61" s="30" t="s">
        <v>228</v>
      </c>
      <c r="L61" s="34"/>
    </row>
    <row r="62" spans="1:12">
      <c r="A62" s="27">
        <f t="shared" si="2"/>
        <v>55</v>
      </c>
      <c r="B62" s="27" t="str">
        <f t="shared" si="1"/>
        <v>Student 55</v>
      </c>
      <c r="C62" s="27" t="s">
        <v>198</v>
      </c>
      <c r="D62" s="27" t="s">
        <v>199</v>
      </c>
      <c r="E62" s="28">
        <v>300</v>
      </c>
      <c r="F62" s="33" t="s">
        <v>190</v>
      </c>
      <c r="G62" s="29">
        <v>46212</v>
      </c>
      <c r="H62" s="30" t="s">
        <v>199</v>
      </c>
      <c r="I62" s="30" t="s">
        <v>228</v>
      </c>
      <c r="L62" s="34"/>
    </row>
    <row r="63" spans="1:12">
      <c r="A63" s="27">
        <f t="shared" si="2"/>
        <v>56</v>
      </c>
      <c r="B63" s="27" t="str">
        <f t="shared" si="1"/>
        <v>Student 56</v>
      </c>
      <c r="C63" s="27" t="s">
        <v>201</v>
      </c>
      <c r="D63" s="27" t="s">
        <v>199</v>
      </c>
      <c r="E63" s="28">
        <v>200</v>
      </c>
      <c r="F63" s="27" t="s">
        <v>190</v>
      </c>
      <c r="G63" s="29">
        <v>46212</v>
      </c>
      <c r="H63" s="30" t="s">
        <v>199</v>
      </c>
      <c r="I63" s="30" t="s">
        <v>228</v>
      </c>
      <c r="L63" s="34"/>
    </row>
    <row r="64" spans="1:12">
      <c r="A64" s="27">
        <f t="shared" si="2"/>
        <v>57</v>
      </c>
      <c r="B64" s="27" t="str">
        <f t="shared" si="1"/>
        <v>Student 57</v>
      </c>
      <c r="C64" s="27" t="s">
        <v>194</v>
      </c>
      <c r="D64" s="27" t="s">
        <v>199</v>
      </c>
      <c r="E64" s="28">
        <v>550</v>
      </c>
      <c r="F64" s="27" t="s">
        <v>190</v>
      </c>
      <c r="G64" s="29">
        <v>46223</v>
      </c>
      <c r="H64" s="30" t="s">
        <v>199</v>
      </c>
      <c r="I64" s="30" t="s">
        <v>229</v>
      </c>
      <c r="L64" s="34"/>
    </row>
    <row r="65" spans="1:9">
      <c r="A65" s="27">
        <f t="shared" si="2"/>
        <v>58</v>
      </c>
      <c r="B65" s="27" t="str">
        <f t="shared" si="1"/>
        <v>Student 58</v>
      </c>
      <c r="C65" s="27" t="s">
        <v>200</v>
      </c>
      <c r="D65" s="27" t="s">
        <v>199</v>
      </c>
      <c r="E65" s="28">
        <v>250</v>
      </c>
      <c r="F65" s="32" t="s">
        <v>190</v>
      </c>
      <c r="G65" s="29">
        <v>46238</v>
      </c>
      <c r="H65" s="30" t="s">
        <v>199</v>
      </c>
      <c r="I65" s="30" t="s">
        <v>228</v>
      </c>
    </row>
    <row r="66" spans="1:9">
      <c r="A66" s="27">
        <f t="shared" si="2"/>
        <v>59</v>
      </c>
      <c r="B66" s="27" t="str">
        <f t="shared" si="1"/>
        <v>Student 59</v>
      </c>
      <c r="C66" s="27" t="s">
        <v>187</v>
      </c>
      <c r="D66" s="27" t="s">
        <v>199</v>
      </c>
      <c r="E66" s="28">
        <v>350</v>
      </c>
      <c r="F66" s="27" t="s">
        <v>190</v>
      </c>
      <c r="G66" s="29">
        <v>46238</v>
      </c>
      <c r="H66" s="30" t="s">
        <v>199</v>
      </c>
      <c r="I66" s="30" t="s">
        <v>228</v>
      </c>
    </row>
    <row r="67" spans="1:9">
      <c r="A67" s="27">
        <f t="shared" si="2"/>
        <v>60</v>
      </c>
      <c r="B67" s="27" t="str">
        <f t="shared" si="1"/>
        <v>Student 60</v>
      </c>
      <c r="C67" s="27" t="s">
        <v>186</v>
      </c>
      <c r="D67" s="27" t="s">
        <v>199</v>
      </c>
      <c r="E67" s="28">
        <v>200</v>
      </c>
      <c r="F67" s="27" t="s">
        <v>190</v>
      </c>
      <c r="G67" s="29">
        <v>46238</v>
      </c>
      <c r="H67" s="30" t="s">
        <v>199</v>
      </c>
      <c r="I67" s="30" t="s">
        <v>228</v>
      </c>
    </row>
    <row r="68" spans="1:9">
      <c r="A68" s="27">
        <f t="shared" si="2"/>
        <v>61</v>
      </c>
      <c r="B68" s="27" t="str">
        <f t="shared" si="1"/>
        <v>Student 61</v>
      </c>
      <c r="C68" s="27" t="s">
        <v>200</v>
      </c>
      <c r="D68" s="27" t="s">
        <v>199</v>
      </c>
      <c r="E68" s="28">
        <v>250</v>
      </c>
      <c r="F68" s="27" t="s">
        <v>190</v>
      </c>
      <c r="G68" s="29">
        <v>46240</v>
      </c>
      <c r="H68" s="30" t="s">
        <v>199</v>
      </c>
      <c r="I68" s="30" t="s">
        <v>228</v>
      </c>
    </row>
    <row r="69" spans="1:9">
      <c r="A69" s="27">
        <f t="shared" si="2"/>
        <v>62</v>
      </c>
      <c r="B69" s="27" t="str">
        <f t="shared" si="1"/>
        <v>Student 62</v>
      </c>
      <c r="C69" s="27" t="s">
        <v>188</v>
      </c>
      <c r="D69" s="27" t="s">
        <v>199</v>
      </c>
      <c r="E69" s="28">
        <v>200</v>
      </c>
      <c r="F69" s="27" t="s">
        <v>190</v>
      </c>
      <c r="G69" s="29">
        <v>46240</v>
      </c>
      <c r="H69" s="30" t="s">
        <v>199</v>
      </c>
      <c r="I69" s="30" t="s">
        <v>228</v>
      </c>
    </row>
    <row r="70" spans="1:9">
      <c r="A70" s="27">
        <f t="shared" si="2"/>
        <v>63</v>
      </c>
      <c r="B70" s="27" t="str">
        <f t="shared" si="1"/>
        <v>Student 63</v>
      </c>
      <c r="C70" s="27" t="s">
        <v>186</v>
      </c>
      <c r="D70" s="27" t="s">
        <v>199</v>
      </c>
      <c r="E70" s="28">
        <v>200</v>
      </c>
      <c r="F70" s="27" t="s">
        <v>190</v>
      </c>
      <c r="G70" s="29">
        <v>46237</v>
      </c>
      <c r="H70" s="30" t="s">
        <v>199</v>
      </c>
      <c r="I70" s="30" t="s">
        <v>229</v>
      </c>
    </row>
    <row r="71" spans="1:9">
      <c r="A71" s="27">
        <f t="shared" si="2"/>
        <v>64</v>
      </c>
      <c r="B71" s="27"/>
      <c r="C71" s="27"/>
      <c r="D71" s="27"/>
      <c r="E71" s="28"/>
      <c r="F71" s="32"/>
      <c r="G71" s="29"/>
      <c r="H71" s="30"/>
      <c r="I71" s="30"/>
    </row>
    <row r="72" spans="1:9">
      <c r="A72" s="27">
        <f t="shared" ref="A72:A117" si="3">ROW()-7</f>
        <v>65</v>
      </c>
      <c r="B72" s="27"/>
      <c r="C72" s="27"/>
      <c r="D72" s="27"/>
      <c r="E72" s="28"/>
      <c r="F72" s="33"/>
      <c r="G72" s="29"/>
      <c r="H72" s="30"/>
      <c r="I72" s="30"/>
    </row>
    <row r="73" spans="1:9">
      <c r="A73" s="27">
        <f t="shared" si="3"/>
        <v>66</v>
      </c>
      <c r="B73" s="27"/>
      <c r="C73" s="27"/>
      <c r="D73" s="27"/>
      <c r="E73" s="28"/>
      <c r="F73" s="32"/>
      <c r="G73" s="29"/>
      <c r="H73" s="30"/>
      <c r="I73" s="30"/>
    </row>
    <row r="74" spans="1:9">
      <c r="A74" s="27">
        <f t="shared" si="3"/>
        <v>67</v>
      </c>
      <c r="B74" s="27"/>
      <c r="C74" s="27"/>
      <c r="D74" s="27"/>
      <c r="E74" s="28"/>
      <c r="F74" s="27"/>
      <c r="G74" s="29"/>
      <c r="H74" s="30"/>
      <c r="I74" s="30"/>
    </row>
    <row r="75" spans="1:9">
      <c r="A75" s="27">
        <f t="shared" si="3"/>
        <v>68</v>
      </c>
      <c r="B75" s="27"/>
      <c r="C75" s="27"/>
      <c r="D75" s="27"/>
      <c r="E75" s="28"/>
      <c r="F75" s="27"/>
      <c r="G75" s="29"/>
      <c r="H75" s="30"/>
      <c r="I75" s="30"/>
    </row>
    <row r="76" spans="1:9">
      <c r="A76" s="27">
        <f t="shared" si="3"/>
        <v>69</v>
      </c>
      <c r="B76" s="27"/>
      <c r="C76" s="27"/>
      <c r="D76" s="27"/>
      <c r="E76" s="28"/>
      <c r="F76" s="27"/>
      <c r="G76" s="29"/>
      <c r="H76" s="30"/>
      <c r="I76" s="30"/>
    </row>
    <row r="77" spans="1:9">
      <c r="A77" s="27">
        <f t="shared" si="3"/>
        <v>70</v>
      </c>
      <c r="B77" s="27"/>
      <c r="C77" s="27"/>
      <c r="D77" s="27"/>
      <c r="E77" s="28"/>
      <c r="F77" s="32"/>
      <c r="G77" s="29"/>
      <c r="H77" s="30"/>
      <c r="I77" s="30"/>
    </row>
    <row r="78" spans="1:9">
      <c r="A78" s="27">
        <f t="shared" si="3"/>
        <v>71</v>
      </c>
      <c r="B78" s="27"/>
      <c r="C78" s="27"/>
      <c r="D78" s="27"/>
      <c r="E78" s="28"/>
      <c r="F78" s="33"/>
      <c r="G78" s="29"/>
      <c r="H78" s="30"/>
      <c r="I78" s="30"/>
    </row>
    <row r="79" spans="1:9">
      <c r="A79" s="27">
        <f t="shared" si="3"/>
        <v>72</v>
      </c>
      <c r="B79" s="27"/>
      <c r="C79" s="27"/>
      <c r="D79" s="27"/>
      <c r="E79" s="28"/>
      <c r="F79" s="32"/>
      <c r="G79" s="29"/>
      <c r="H79" s="30"/>
      <c r="I79" s="30"/>
    </row>
    <row r="80" spans="1:9">
      <c r="A80" s="27">
        <f t="shared" si="3"/>
        <v>73</v>
      </c>
      <c r="B80" s="27"/>
      <c r="C80" s="27"/>
      <c r="D80" s="27"/>
      <c r="E80" s="28"/>
      <c r="F80" s="33"/>
      <c r="G80" s="29"/>
      <c r="H80" s="30"/>
      <c r="I80" s="30"/>
    </row>
    <row r="81" spans="1:9">
      <c r="A81" s="27">
        <f t="shared" si="3"/>
        <v>74</v>
      </c>
      <c r="B81" s="27"/>
      <c r="C81" s="27"/>
      <c r="D81" s="27"/>
      <c r="E81" s="28"/>
      <c r="F81" s="27"/>
      <c r="G81" s="29"/>
      <c r="H81" s="30"/>
      <c r="I81" s="30"/>
    </row>
    <row r="82" spans="1:9">
      <c r="A82" s="27">
        <f t="shared" si="3"/>
        <v>75</v>
      </c>
      <c r="B82" s="27"/>
      <c r="C82" s="27"/>
      <c r="D82" s="27"/>
      <c r="E82" s="28"/>
      <c r="F82" s="33"/>
      <c r="G82" s="29"/>
      <c r="H82" s="30"/>
      <c r="I82" s="30"/>
    </row>
    <row r="83" spans="1:9">
      <c r="A83" s="27">
        <f t="shared" si="3"/>
        <v>76</v>
      </c>
      <c r="B83" s="27"/>
      <c r="C83" s="27"/>
      <c r="D83" s="27"/>
      <c r="E83" s="28"/>
      <c r="F83" s="32"/>
      <c r="G83" s="29"/>
      <c r="H83" s="30"/>
      <c r="I83" s="30"/>
    </row>
    <row r="84" spans="1:9">
      <c r="A84" s="27">
        <f t="shared" si="3"/>
        <v>77</v>
      </c>
      <c r="B84" s="27"/>
      <c r="C84" s="27"/>
      <c r="D84" s="27"/>
      <c r="E84" s="28"/>
      <c r="F84" s="27"/>
      <c r="G84" s="29"/>
      <c r="H84" s="30"/>
      <c r="I84" s="30"/>
    </row>
    <row r="85" spans="1:9">
      <c r="A85" s="27">
        <f t="shared" si="3"/>
        <v>78</v>
      </c>
      <c r="B85" s="27"/>
      <c r="C85" s="27"/>
      <c r="D85" s="27"/>
      <c r="E85" s="28"/>
      <c r="F85" s="32"/>
      <c r="G85" s="29"/>
      <c r="H85" s="30"/>
      <c r="I85" s="30"/>
    </row>
    <row r="86" spans="1:9">
      <c r="A86" s="27">
        <f t="shared" si="3"/>
        <v>79</v>
      </c>
      <c r="B86" s="27"/>
      <c r="C86" s="27"/>
      <c r="D86" s="27"/>
      <c r="E86" s="28"/>
      <c r="F86" s="27"/>
      <c r="G86" s="29"/>
      <c r="H86" s="30"/>
      <c r="I86" s="30"/>
    </row>
    <row r="87" spans="1:9">
      <c r="A87" s="27">
        <f t="shared" si="3"/>
        <v>80</v>
      </c>
      <c r="B87" s="27"/>
      <c r="C87" s="27"/>
      <c r="D87" s="27"/>
      <c r="E87" s="28"/>
      <c r="F87" s="27"/>
      <c r="G87" s="29"/>
      <c r="H87" s="30"/>
      <c r="I87" s="30"/>
    </row>
    <row r="88" spans="1:9">
      <c r="A88" s="27">
        <f t="shared" si="3"/>
        <v>81</v>
      </c>
      <c r="B88" s="27"/>
      <c r="C88" s="27"/>
      <c r="D88" s="27"/>
      <c r="E88" s="28"/>
      <c r="F88" s="27"/>
      <c r="G88" s="29"/>
      <c r="H88" s="30"/>
      <c r="I88" s="30"/>
    </row>
    <row r="89" spans="1:9">
      <c r="A89" s="27">
        <f t="shared" si="3"/>
        <v>82</v>
      </c>
      <c r="B89" s="27"/>
      <c r="C89" s="27"/>
      <c r="D89" s="27"/>
      <c r="E89" s="28"/>
      <c r="F89" s="27"/>
      <c r="G89" s="29"/>
      <c r="H89" s="30"/>
      <c r="I89" s="30"/>
    </row>
    <row r="90" spans="1:9">
      <c r="A90" s="27">
        <f t="shared" si="3"/>
        <v>83</v>
      </c>
      <c r="B90" s="27"/>
      <c r="C90" s="27"/>
      <c r="D90" s="27"/>
      <c r="E90" s="28"/>
      <c r="F90" s="27"/>
      <c r="G90" s="29"/>
      <c r="H90" s="30"/>
      <c r="I90" s="30"/>
    </row>
    <row r="91" spans="1:9">
      <c r="A91" s="27">
        <f t="shared" si="3"/>
        <v>84</v>
      </c>
      <c r="B91" s="27"/>
      <c r="C91" s="27"/>
      <c r="D91" s="27"/>
      <c r="E91" s="28"/>
      <c r="F91" s="27"/>
      <c r="G91" s="29"/>
      <c r="H91" s="30"/>
      <c r="I91" s="30"/>
    </row>
    <row r="92" spans="1:9">
      <c r="A92" s="27">
        <f t="shared" si="3"/>
        <v>85</v>
      </c>
      <c r="B92" s="27"/>
      <c r="C92" s="27"/>
      <c r="D92" s="27"/>
      <c r="E92" s="28"/>
      <c r="F92" s="27"/>
      <c r="G92" s="29"/>
      <c r="H92" s="30"/>
      <c r="I92" s="30"/>
    </row>
    <row r="93" spans="1:9">
      <c r="A93" s="27">
        <f t="shared" si="3"/>
        <v>86</v>
      </c>
      <c r="B93" s="27"/>
      <c r="C93" s="27"/>
      <c r="D93" s="27"/>
      <c r="E93" s="28"/>
      <c r="F93" s="27"/>
      <c r="G93" s="29"/>
      <c r="H93" s="30"/>
      <c r="I93" s="30"/>
    </row>
    <row r="94" spans="1:9">
      <c r="A94" s="27">
        <f t="shared" si="3"/>
        <v>87</v>
      </c>
      <c r="B94" s="27"/>
      <c r="C94" s="27"/>
      <c r="D94" s="27"/>
      <c r="E94" s="28"/>
      <c r="F94" s="27"/>
      <c r="G94" s="29"/>
      <c r="H94" s="30"/>
      <c r="I94" s="30"/>
    </row>
    <row r="95" spans="1:9">
      <c r="A95" s="27">
        <f t="shared" si="3"/>
        <v>88</v>
      </c>
      <c r="B95" s="27"/>
      <c r="C95" s="27"/>
      <c r="D95" s="27"/>
      <c r="E95" s="28"/>
      <c r="F95" s="27"/>
      <c r="G95" s="29"/>
      <c r="H95" s="30"/>
      <c r="I95" s="30"/>
    </row>
    <row r="96" spans="1:9">
      <c r="A96" s="27">
        <f t="shared" si="3"/>
        <v>89</v>
      </c>
      <c r="B96" s="27"/>
      <c r="C96" s="27"/>
      <c r="D96" s="27"/>
      <c r="E96" s="28"/>
      <c r="F96" s="27"/>
      <c r="G96" s="29"/>
      <c r="H96" s="30"/>
      <c r="I96" s="30"/>
    </row>
    <row r="97" spans="1:9">
      <c r="A97" s="27">
        <f t="shared" si="3"/>
        <v>90</v>
      </c>
      <c r="B97" s="27"/>
      <c r="C97" s="27"/>
      <c r="D97" s="27"/>
      <c r="E97" s="28"/>
      <c r="F97" s="27"/>
      <c r="G97" s="29"/>
      <c r="H97" s="30"/>
      <c r="I97" s="30"/>
    </row>
    <row r="98" spans="1:9">
      <c r="A98" s="27">
        <f t="shared" si="3"/>
        <v>91</v>
      </c>
      <c r="B98" s="27"/>
      <c r="C98" s="27"/>
      <c r="D98" s="27"/>
      <c r="E98" s="28"/>
      <c r="F98" s="27"/>
      <c r="G98" s="29"/>
      <c r="H98" s="30"/>
      <c r="I98" s="30"/>
    </row>
    <row r="99" spans="1:9">
      <c r="A99" s="27">
        <f t="shared" si="3"/>
        <v>92</v>
      </c>
      <c r="B99" s="27"/>
      <c r="C99" s="27"/>
      <c r="D99" s="27"/>
      <c r="E99" s="28"/>
      <c r="F99" s="27"/>
      <c r="G99" s="29"/>
      <c r="H99" s="30"/>
      <c r="I99" s="30"/>
    </row>
    <row r="100" spans="1:9">
      <c r="A100" s="27">
        <f t="shared" si="3"/>
        <v>93</v>
      </c>
      <c r="B100" s="27"/>
      <c r="C100" s="27"/>
      <c r="D100" s="27"/>
      <c r="E100" s="28"/>
      <c r="F100" s="27"/>
      <c r="G100" s="29"/>
      <c r="H100" s="30"/>
      <c r="I100" s="30"/>
    </row>
    <row r="101" spans="1:9">
      <c r="A101" s="27">
        <f t="shared" si="3"/>
        <v>94</v>
      </c>
      <c r="B101" s="27"/>
      <c r="C101" s="27"/>
      <c r="D101" s="27"/>
      <c r="E101" s="28"/>
      <c r="F101" s="27"/>
      <c r="G101" s="29"/>
      <c r="H101" s="30"/>
      <c r="I101" s="30"/>
    </row>
    <row r="102" spans="1:9">
      <c r="A102" s="27">
        <f t="shared" si="3"/>
        <v>95</v>
      </c>
      <c r="B102" s="27"/>
      <c r="C102" s="27"/>
      <c r="D102" s="27"/>
      <c r="E102" s="28"/>
      <c r="F102" s="27"/>
      <c r="G102" s="29"/>
      <c r="H102" s="30"/>
      <c r="I102" s="30"/>
    </row>
    <row r="103" spans="1:9">
      <c r="A103" s="27">
        <f t="shared" si="3"/>
        <v>96</v>
      </c>
      <c r="B103" s="27"/>
      <c r="C103" s="27"/>
      <c r="D103" s="27"/>
      <c r="E103" s="28"/>
      <c r="F103" s="27"/>
      <c r="G103" s="29"/>
      <c r="H103" s="30"/>
      <c r="I103" s="30"/>
    </row>
    <row r="104" spans="1:9">
      <c r="A104" s="27">
        <f t="shared" si="3"/>
        <v>97</v>
      </c>
      <c r="B104" s="27"/>
      <c r="C104" s="27"/>
      <c r="D104" s="27"/>
      <c r="E104" s="28"/>
      <c r="F104" s="27"/>
      <c r="G104" s="29"/>
      <c r="H104" s="30"/>
      <c r="I104" s="30"/>
    </row>
    <row r="105" spans="1:9">
      <c r="A105" s="27">
        <f t="shared" si="3"/>
        <v>98</v>
      </c>
      <c r="B105" s="27"/>
      <c r="C105" s="27"/>
      <c r="D105" s="27"/>
      <c r="E105" s="28"/>
      <c r="F105" s="27"/>
      <c r="G105" s="29"/>
      <c r="H105" s="30"/>
      <c r="I105" s="30"/>
    </row>
    <row r="106" spans="1:9">
      <c r="A106" s="27">
        <f t="shared" si="3"/>
        <v>99</v>
      </c>
      <c r="B106" s="27"/>
      <c r="C106" s="27"/>
      <c r="D106" s="27"/>
      <c r="E106" s="28"/>
      <c r="F106" s="27"/>
      <c r="G106" s="29"/>
      <c r="H106" s="30"/>
      <c r="I106" s="30"/>
    </row>
    <row r="107" spans="1:9">
      <c r="A107" s="27">
        <f t="shared" si="3"/>
        <v>100</v>
      </c>
      <c r="B107" s="27"/>
      <c r="C107" s="27"/>
      <c r="D107" s="27"/>
      <c r="E107" s="28"/>
      <c r="F107" s="27"/>
      <c r="G107" s="29"/>
      <c r="H107" s="30"/>
      <c r="I107" s="30"/>
    </row>
    <row r="108" spans="1:9">
      <c r="A108" s="27">
        <f t="shared" si="3"/>
        <v>101</v>
      </c>
      <c r="B108" s="27"/>
      <c r="C108" s="27"/>
      <c r="D108" s="27"/>
      <c r="E108" s="28"/>
      <c r="F108" s="27"/>
      <c r="G108" s="29"/>
      <c r="H108" s="30"/>
      <c r="I108" s="30"/>
    </row>
    <row r="109" spans="1:9">
      <c r="A109" s="27">
        <f t="shared" si="3"/>
        <v>102</v>
      </c>
      <c r="B109" s="27"/>
      <c r="C109" s="27"/>
      <c r="D109" s="27"/>
      <c r="E109" s="28"/>
      <c r="F109" s="27"/>
      <c r="G109" s="29"/>
      <c r="H109" s="30"/>
      <c r="I109" s="30"/>
    </row>
    <row r="110" spans="1:9">
      <c r="A110" s="27">
        <f t="shared" si="3"/>
        <v>103</v>
      </c>
      <c r="B110" s="27"/>
      <c r="C110" s="27"/>
      <c r="D110" s="27"/>
      <c r="E110" s="28"/>
      <c r="F110" s="27"/>
      <c r="G110" s="29"/>
      <c r="H110" s="30"/>
      <c r="I110" s="30"/>
    </row>
    <row r="111" spans="1:9">
      <c r="A111" s="27">
        <f t="shared" si="3"/>
        <v>104</v>
      </c>
      <c r="B111" s="27"/>
      <c r="C111" s="27"/>
      <c r="D111" s="27"/>
      <c r="E111" s="28"/>
      <c r="F111" s="27"/>
      <c r="G111" s="29"/>
      <c r="H111" s="30"/>
      <c r="I111" s="30"/>
    </row>
    <row r="112" spans="1:9">
      <c r="A112" s="27">
        <f t="shared" si="3"/>
        <v>105</v>
      </c>
      <c r="B112" s="27"/>
      <c r="C112" s="27"/>
      <c r="D112" s="27"/>
      <c r="E112" s="28"/>
      <c r="F112" s="27"/>
      <c r="G112" s="29"/>
      <c r="H112" s="30"/>
      <c r="I112" s="30"/>
    </row>
    <row r="113" spans="1:9">
      <c r="A113" s="27">
        <f t="shared" si="3"/>
        <v>106</v>
      </c>
      <c r="B113" s="27"/>
      <c r="C113" s="27"/>
      <c r="D113" s="27"/>
      <c r="E113" s="28"/>
      <c r="F113" s="27"/>
      <c r="G113" s="29"/>
      <c r="H113" s="30"/>
      <c r="I113" s="30"/>
    </row>
    <row r="114" spans="1:9">
      <c r="A114" s="27">
        <f t="shared" si="3"/>
        <v>107</v>
      </c>
      <c r="B114" s="27"/>
      <c r="C114" s="27"/>
      <c r="D114" s="27"/>
      <c r="E114" s="28"/>
      <c r="F114" s="27"/>
      <c r="G114" s="29"/>
      <c r="H114" s="30"/>
      <c r="I114" s="30"/>
    </row>
    <row r="115" spans="1:9">
      <c r="A115" s="27">
        <f t="shared" si="3"/>
        <v>108</v>
      </c>
      <c r="B115" s="27"/>
      <c r="C115" s="27"/>
      <c r="D115" s="27"/>
      <c r="E115" s="28"/>
      <c r="F115" s="27"/>
      <c r="G115" s="29"/>
      <c r="H115" s="30"/>
      <c r="I115" s="30"/>
    </row>
    <row r="116" spans="1:9">
      <c r="A116" s="27">
        <f t="shared" si="3"/>
        <v>109</v>
      </c>
      <c r="B116" s="27"/>
      <c r="C116" s="27"/>
      <c r="D116" s="27"/>
      <c r="E116" s="28"/>
      <c r="F116" s="27"/>
      <c r="G116" s="29"/>
      <c r="H116" s="30"/>
      <c r="I116" s="30"/>
    </row>
    <row r="117" spans="1:9">
      <c r="A117" s="27">
        <f t="shared" si="3"/>
        <v>110</v>
      </c>
      <c r="B117" s="27"/>
      <c r="C117" s="27"/>
      <c r="D117" s="27"/>
      <c r="E117" s="28"/>
      <c r="F117" s="27"/>
      <c r="G117" s="29"/>
      <c r="H117" s="30"/>
      <c r="I117" s="27"/>
    </row>
  </sheetData>
  <sheetProtection formatCells="0" formatColumns="0" formatRows="0" insertColumns="0" insertRows="0" insertHyperlinks="0" deleteColumns="0" deleteRows="0" sort="0" autoFilter="0" pivotTables="0"/>
  <mergeCells count="1">
    <mergeCell ref="A2:I2"/>
  </mergeCells>
  <phoneticPr fontId="4" type="noConversion"/>
  <conditionalFormatting sqref="E7:E117">
    <cfRule type="dataBar" priority="4">
      <dataBar>
        <cfvo type="min"/>
        <cfvo type="max"/>
        <color rgb="FF63C384"/>
      </dataBar>
      <extLst>
        <ext xmlns:x14="http://schemas.microsoft.com/office/spreadsheetml/2009/9/main" uri="{B025F937-C7B1-47D3-B67F-A62EFF666E3E}">
          <x14:id>{44247126-0EFD-46D4-9F89-F2086C46A450}</x14:id>
        </ext>
      </extLst>
    </cfRule>
  </conditionalFormatting>
  <conditionalFormatting sqref="F5:F1048576">
    <cfRule type="containsText" dxfId="284" priority="1" operator="containsText" text="ANC">
      <formula>NOT(ISERROR(SEARCH("ANC",F5)))</formula>
    </cfRule>
    <cfRule type="beginsWith" dxfId="283" priority="2" operator="beginsWith" text="ACTIVE">
      <formula>LEFT(F5,LEN("ACTIVE"))="ACTIVE"</formula>
    </cfRule>
    <cfRule type="containsText" dxfId="282" priority="3" operator="containsText" text="LEFT">
      <formula>NOT(ISERROR(SEARCH("LEFT",F5)))</formula>
    </cfRule>
  </conditionalFormatting>
  <dataValidations count="4">
    <dataValidation type="list" allowBlank="1" showInputMessage="1" showErrorMessage="1" sqref="F8:F1048576" xr:uid="{0B98CE87-58A6-43A5-B88E-68F8B46C2967}">
      <formula1>"ACTIVE , LEFT , ANC"</formula1>
    </dataValidation>
    <dataValidation type="list" allowBlank="1" showInputMessage="1" showErrorMessage="1" sqref="C8:C1048576" xr:uid="{53B6CF33-01E9-465E-A51A-245EC80A0A2B}">
      <formula1>"0th,Jr.kg/Sr.kg,1st,2nd,3rd,4th,5th,6th,7th,8th,9th,10th"</formula1>
    </dataValidation>
    <dataValidation type="list" allowBlank="1" showInputMessage="1" showErrorMessage="1" sqref="E8:E1048576" xr:uid="{396C4275-65DE-497D-A602-A3A8EDB47976}">
      <formula1>"0,150,200,250,300,350,400,450,500,550,600,650,700,750,800,850,900,950,1000,1050,1100,1150,1200,1250,1300,1350,1400,1450,1500,1550,1600,1650,1700,1750,1800,1850,1900,1950,2000"</formula1>
    </dataValidation>
    <dataValidation type="list" allowBlank="1" showInputMessage="1" showErrorMessage="1" sqref="I8:I117" xr:uid="{E780326C-ED98-4C99-AE77-9B3C60A180CE}">
      <formula1>"MORNING,EVENING"</formula1>
    </dataValidation>
  </dataValidations>
  <pageMargins left="0.7" right="0.7" top="0.75" bottom="0.75" header="0.3" footer="0.3"/>
  <pageSetup scale="21"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4247126-0EFD-46D4-9F89-F2086C46A450}">
            <x14:dataBar minLength="0" maxLength="100" border="1" negativeBarBorderColorSameAsPositive="0">
              <x14:cfvo type="autoMin"/>
              <x14:cfvo type="autoMax"/>
              <x14:borderColor rgb="FF63C384"/>
              <x14:negativeFillColor rgb="FFFF0000"/>
              <x14:negativeBorderColor rgb="FFFF0000"/>
              <x14:axisColor rgb="FF000000"/>
            </x14:dataBar>
          </x14:cfRule>
          <xm:sqref>E7:E117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99DA-49D3-48E2-AB9A-C34C35271425}">
  <sheetPr codeName="Sheet5">
    <tabColor rgb="FF92D050"/>
    <pageSetUpPr fitToPage="1"/>
  </sheetPr>
  <dimension ref="A1:AM116"/>
  <sheetViews>
    <sheetView zoomScale="92" zoomScaleNormal="92" workbookViewId="0">
      <selection sqref="A1:L3"/>
    </sheetView>
  </sheetViews>
  <sheetFormatPr defaultColWidth="10.28515625" defaultRowHeight="15.75"/>
  <cols>
    <col min="1" max="1" width="14.140625" style="9" bestFit="1" customWidth="1"/>
    <col min="2" max="2" width="21.140625" style="9" bestFit="1" customWidth="1"/>
    <col min="3" max="3" width="13" style="9" bestFit="1" customWidth="1"/>
    <col min="4" max="4" width="23.140625" style="35" bestFit="1" customWidth="1"/>
    <col min="5" max="6" width="13.5703125" style="9" bestFit="1" customWidth="1"/>
    <col min="7" max="7" width="15.85546875" style="9" bestFit="1" customWidth="1"/>
    <col min="8" max="8" width="21" style="9" bestFit="1" customWidth="1"/>
    <col min="9" max="9" width="18" style="9" bestFit="1" customWidth="1"/>
    <col min="10" max="11" width="19.7109375" style="9" bestFit="1" customWidth="1"/>
    <col min="12" max="12" width="16.85546875" style="9" bestFit="1" customWidth="1"/>
    <col min="13" max="13" width="19.42578125" style="9" bestFit="1" customWidth="1"/>
    <col min="14" max="14" width="14.5703125" style="9" bestFit="1" customWidth="1"/>
    <col min="15" max="16" width="15.5703125" style="9" bestFit="1" customWidth="1"/>
    <col min="17" max="17" width="13.85546875" style="9" customWidth="1"/>
    <col min="18" max="18" width="12.7109375" style="39" customWidth="1"/>
    <col min="19" max="19" width="15.28515625" style="9" customWidth="1"/>
    <col min="20" max="20" width="14.28515625" style="9" customWidth="1"/>
    <col min="21" max="21" width="10.28515625" style="9"/>
    <col min="22" max="22" width="28.7109375" style="9" bestFit="1" customWidth="1"/>
    <col min="23" max="23" width="27.7109375" style="9" bestFit="1" customWidth="1"/>
    <col min="24" max="24" width="13.7109375" style="9" bestFit="1" customWidth="1"/>
    <col min="25" max="25" width="12.5703125" style="9" bestFit="1" customWidth="1"/>
    <col min="26" max="26" width="17.28515625" style="9" bestFit="1" customWidth="1"/>
    <col min="27" max="27" width="35.5703125" style="9" bestFit="1" customWidth="1"/>
    <col min="28" max="16384" width="10.28515625" style="9"/>
  </cols>
  <sheetData>
    <row r="1" spans="1:39" ht="15.75" customHeight="1">
      <c r="A1" s="246" t="s">
        <v>240</v>
      </c>
      <c r="B1" s="247"/>
      <c r="C1" s="247"/>
      <c r="D1" s="247"/>
      <c r="E1" s="247"/>
      <c r="F1" s="247"/>
      <c r="G1" s="247"/>
      <c r="H1" s="247"/>
      <c r="I1" s="247"/>
      <c r="J1" s="247"/>
      <c r="K1" s="247"/>
      <c r="L1" s="248"/>
      <c r="M1" s="36"/>
      <c r="N1" s="36"/>
      <c r="O1" s="37"/>
      <c r="P1" s="37"/>
      <c r="Q1" s="37"/>
      <c r="R1" s="38"/>
      <c r="S1" s="37"/>
      <c r="T1" s="37"/>
      <c r="U1" s="37"/>
      <c r="V1" s="37"/>
      <c r="W1" s="37"/>
      <c r="X1" s="37"/>
      <c r="Y1" s="37"/>
      <c r="Z1" s="37"/>
      <c r="AA1" s="37"/>
      <c r="AB1" s="37"/>
      <c r="AC1" s="37"/>
      <c r="AD1" s="37"/>
      <c r="AE1" s="37"/>
      <c r="AF1" s="37"/>
      <c r="AG1" s="37"/>
      <c r="AH1" s="37"/>
      <c r="AI1" s="37"/>
      <c r="AJ1" s="37"/>
      <c r="AK1" s="37"/>
      <c r="AL1" s="37"/>
      <c r="AM1" s="37"/>
    </row>
    <row r="2" spans="1:39" ht="15.75" customHeight="1">
      <c r="A2" s="249"/>
      <c r="B2" s="250"/>
      <c r="C2" s="250"/>
      <c r="D2" s="250"/>
      <c r="E2" s="250"/>
      <c r="F2" s="250"/>
      <c r="G2" s="250"/>
      <c r="H2" s="250"/>
      <c r="I2" s="250"/>
      <c r="J2" s="250"/>
      <c r="K2" s="250"/>
      <c r="L2" s="251"/>
      <c r="M2" s="36"/>
      <c r="N2" s="36"/>
      <c r="O2" s="37"/>
      <c r="P2" s="37"/>
      <c r="Q2" s="37"/>
      <c r="R2" s="38"/>
      <c r="S2" s="37"/>
      <c r="T2" s="37"/>
      <c r="U2" s="37"/>
      <c r="V2" s="37"/>
      <c r="W2" s="37"/>
      <c r="X2" s="37"/>
      <c r="Y2" s="37"/>
      <c r="Z2" s="37"/>
      <c r="AA2" s="37"/>
      <c r="AB2" s="37"/>
      <c r="AC2" s="37"/>
      <c r="AD2" s="37"/>
      <c r="AE2" s="37"/>
      <c r="AF2" s="37"/>
      <c r="AG2" s="37"/>
      <c r="AH2" s="37"/>
      <c r="AI2" s="37"/>
      <c r="AJ2" s="37"/>
      <c r="AK2" s="37"/>
      <c r="AL2" s="37"/>
      <c r="AM2" s="37"/>
    </row>
    <row r="3" spans="1:39" ht="15.75" customHeight="1" thickBot="1">
      <c r="A3" s="252"/>
      <c r="B3" s="253"/>
      <c r="C3" s="253"/>
      <c r="D3" s="253"/>
      <c r="E3" s="253"/>
      <c r="F3" s="253"/>
      <c r="G3" s="253"/>
      <c r="H3" s="253"/>
      <c r="I3" s="253"/>
      <c r="J3" s="253"/>
      <c r="K3" s="253"/>
      <c r="L3" s="254"/>
      <c r="M3" s="36"/>
      <c r="N3" s="36"/>
      <c r="O3" s="37"/>
      <c r="P3" s="37"/>
      <c r="Q3" s="37"/>
      <c r="R3" s="38"/>
      <c r="S3" s="37"/>
      <c r="T3" s="37"/>
      <c r="U3" s="37"/>
      <c r="V3" s="37"/>
      <c r="W3" s="37"/>
      <c r="X3" s="37"/>
      <c r="Y3" s="37"/>
      <c r="Z3" s="37"/>
      <c r="AA3" s="37"/>
      <c r="AB3" s="37"/>
      <c r="AC3" s="37"/>
      <c r="AD3" s="37"/>
      <c r="AE3" s="37"/>
      <c r="AF3" s="37"/>
      <c r="AG3" s="37"/>
      <c r="AH3" s="37"/>
      <c r="AI3" s="37"/>
      <c r="AJ3" s="37"/>
      <c r="AK3" s="37"/>
      <c r="AL3" s="37"/>
      <c r="AM3" s="37"/>
    </row>
    <row r="4" spans="1:39" hidden="1"/>
    <row r="6" spans="1:39">
      <c r="A6" s="9" t="s">
        <v>20</v>
      </c>
      <c r="B6" s="9" t="s">
        <v>21</v>
      </c>
      <c r="C6" s="9" t="s">
        <v>22</v>
      </c>
      <c r="D6" s="35" t="s">
        <v>23</v>
      </c>
      <c r="E6" s="9" t="s">
        <v>24</v>
      </c>
      <c r="F6" s="9" t="s">
        <v>25</v>
      </c>
      <c r="G6" s="9" t="s">
        <v>26</v>
      </c>
      <c r="H6" s="9" t="s">
        <v>27</v>
      </c>
      <c r="I6" s="9" t="s">
        <v>28</v>
      </c>
      <c r="J6" s="9" t="s">
        <v>29</v>
      </c>
      <c r="K6" s="9" t="s">
        <v>30</v>
      </c>
      <c r="L6" s="9" t="s">
        <v>31</v>
      </c>
      <c r="M6" s="9" t="s">
        <v>32</v>
      </c>
      <c r="N6" s="9" t="s">
        <v>33</v>
      </c>
      <c r="O6" s="9" t="s">
        <v>34</v>
      </c>
      <c r="P6" s="9" t="s">
        <v>35</v>
      </c>
      <c r="Q6" s="9" t="s">
        <v>208</v>
      </c>
      <c r="R6" s="39" t="s">
        <v>209</v>
      </c>
      <c r="S6" s="9" t="s">
        <v>210</v>
      </c>
      <c r="T6" s="9" t="s">
        <v>211</v>
      </c>
      <c r="V6" s="40"/>
      <c r="W6" s="40"/>
    </row>
    <row r="7" spans="1:39">
      <c r="A7" s="27">
        <f t="shared" ref="A7:A70" si="0">ROW()-6</f>
        <v>1</v>
      </c>
      <c r="B7" s="27" t="str">
        <f>'All Names'!B8</f>
        <v>Student 1</v>
      </c>
      <c r="C7" s="27" t="str">
        <f>'All Names'!C8</f>
        <v>0th</v>
      </c>
      <c r="D7" s="41">
        <f>'All Names'!E8</f>
        <v>200</v>
      </c>
      <c r="E7" s="27" t="s">
        <v>205</v>
      </c>
      <c r="F7" s="27" t="s">
        <v>205</v>
      </c>
      <c r="G7" s="27"/>
      <c r="H7" s="27"/>
      <c r="I7" s="27"/>
      <c r="J7" s="27"/>
      <c r="K7" s="27"/>
      <c r="L7" s="27"/>
      <c r="M7" s="27"/>
      <c r="N7" s="27"/>
      <c r="O7" s="27"/>
      <c r="P7" s="27"/>
      <c r="Q7" s="27">
        <f t="shared" ref="Q7:Q70" si="1">COUNTIF(E7:P7,"PAID")</f>
        <v>2</v>
      </c>
      <c r="R7" s="41">
        <f t="shared" ref="R7:R70" si="2">D7*Q7</f>
        <v>400</v>
      </c>
      <c r="S7" s="27">
        <f t="shared" ref="S7:S70" si="3">COUNTIF(E7:P7,"UNPAID")</f>
        <v>0</v>
      </c>
      <c r="T7" s="41">
        <f t="shared" ref="T7:T70" si="4">D7*S7</f>
        <v>0</v>
      </c>
    </row>
    <row r="8" spans="1:39">
      <c r="A8" s="27">
        <f t="shared" si="0"/>
        <v>2</v>
      </c>
      <c r="B8" s="27" t="str">
        <f>'All Names'!B9</f>
        <v>Student 2</v>
      </c>
      <c r="C8" s="27" t="str">
        <f>'All Names'!C9</f>
        <v>4th</v>
      </c>
      <c r="D8" s="41">
        <f>'All Names'!E9</f>
        <v>400</v>
      </c>
      <c r="E8" s="27" t="s">
        <v>236</v>
      </c>
      <c r="F8" s="27" t="s">
        <v>236</v>
      </c>
      <c r="G8" s="27" t="s">
        <v>236</v>
      </c>
      <c r="H8" s="27" t="s">
        <v>236</v>
      </c>
      <c r="I8" s="27" t="s">
        <v>236</v>
      </c>
      <c r="J8" s="27" t="s">
        <v>236</v>
      </c>
      <c r="K8" s="27" t="s">
        <v>236</v>
      </c>
      <c r="L8" s="27" t="s">
        <v>236</v>
      </c>
      <c r="M8" s="27" t="s">
        <v>236</v>
      </c>
      <c r="N8" s="27" t="s">
        <v>236</v>
      </c>
      <c r="O8" s="27" t="s">
        <v>236</v>
      </c>
      <c r="P8" s="27"/>
      <c r="Q8" s="27">
        <f t="shared" si="1"/>
        <v>0</v>
      </c>
      <c r="R8" s="41">
        <f t="shared" si="2"/>
        <v>0</v>
      </c>
      <c r="S8" s="27">
        <f t="shared" si="3"/>
        <v>11</v>
      </c>
      <c r="T8" s="41">
        <f t="shared" si="4"/>
        <v>4400</v>
      </c>
    </row>
    <row r="9" spans="1:39">
      <c r="A9" s="27">
        <f t="shared" si="0"/>
        <v>3</v>
      </c>
      <c r="B9" s="27" t="str">
        <f>'All Names'!B10</f>
        <v>Student 3</v>
      </c>
      <c r="C9" s="27" t="str">
        <f>'All Names'!C10</f>
        <v>1st</v>
      </c>
      <c r="D9" s="41">
        <f>'All Names'!E10</f>
        <v>400</v>
      </c>
      <c r="E9" s="27" t="s">
        <v>236</v>
      </c>
      <c r="F9" s="27" t="s">
        <v>236</v>
      </c>
      <c r="G9" s="27" t="s">
        <v>236</v>
      </c>
      <c r="H9" s="27" t="s">
        <v>236</v>
      </c>
      <c r="I9" s="27" t="s">
        <v>236</v>
      </c>
      <c r="J9" s="27" t="s">
        <v>236</v>
      </c>
      <c r="K9" s="27" t="s">
        <v>236</v>
      </c>
      <c r="L9" s="27" t="s">
        <v>236</v>
      </c>
      <c r="M9" s="27" t="s">
        <v>236</v>
      </c>
      <c r="N9" s="27" t="s">
        <v>236</v>
      </c>
      <c r="O9" s="27" t="s">
        <v>236</v>
      </c>
      <c r="P9" s="27"/>
      <c r="Q9" s="27">
        <f t="shared" si="1"/>
        <v>0</v>
      </c>
      <c r="R9" s="41">
        <f t="shared" si="2"/>
        <v>0</v>
      </c>
      <c r="S9" s="27">
        <f t="shared" si="3"/>
        <v>11</v>
      </c>
      <c r="T9" s="41">
        <f t="shared" si="4"/>
        <v>4400</v>
      </c>
      <c r="X9" s="42"/>
    </row>
    <row r="10" spans="1:39">
      <c r="A10" s="27">
        <f t="shared" si="0"/>
        <v>4</v>
      </c>
      <c r="B10" s="27" t="str">
        <f>'All Names'!B11</f>
        <v>Student 4</v>
      </c>
      <c r="C10" s="27" t="str">
        <f>'All Names'!C11</f>
        <v>0th</v>
      </c>
      <c r="D10" s="41">
        <f>'All Names'!E11</f>
        <v>0</v>
      </c>
      <c r="E10" s="27" t="s">
        <v>205</v>
      </c>
      <c r="F10" s="27" t="s">
        <v>205</v>
      </c>
      <c r="G10" s="27" t="s">
        <v>205</v>
      </c>
      <c r="H10" s="27" t="s">
        <v>205</v>
      </c>
      <c r="I10" s="27" t="s">
        <v>205</v>
      </c>
      <c r="J10" s="27" t="s">
        <v>205</v>
      </c>
      <c r="K10" s="27" t="s">
        <v>205</v>
      </c>
      <c r="L10" s="27" t="s">
        <v>205</v>
      </c>
      <c r="M10" s="27" t="s">
        <v>205</v>
      </c>
      <c r="N10" s="27" t="s">
        <v>205</v>
      </c>
      <c r="O10" s="27" t="s">
        <v>205</v>
      </c>
      <c r="P10" s="27"/>
      <c r="Q10" s="27">
        <f t="shared" si="1"/>
        <v>11</v>
      </c>
      <c r="R10" s="41">
        <f t="shared" si="2"/>
        <v>0</v>
      </c>
      <c r="S10" s="27">
        <f t="shared" si="3"/>
        <v>0</v>
      </c>
      <c r="T10" s="41">
        <f t="shared" si="4"/>
        <v>0</v>
      </c>
      <c r="X10" s="42"/>
    </row>
    <row r="11" spans="1:39">
      <c r="A11" s="27">
        <f t="shared" si="0"/>
        <v>5</v>
      </c>
      <c r="B11" s="27" t="str">
        <f>'All Names'!B12</f>
        <v>Student 5</v>
      </c>
      <c r="C11" s="27" t="str">
        <f>'All Names'!C12</f>
        <v>8th</v>
      </c>
      <c r="D11" s="41">
        <f>'All Names'!E12</f>
        <v>800</v>
      </c>
      <c r="E11" s="27" t="s">
        <v>236</v>
      </c>
      <c r="F11" s="27" t="s">
        <v>236</v>
      </c>
      <c r="G11" s="27" t="s">
        <v>236</v>
      </c>
      <c r="H11" s="27" t="s">
        <v>236</v>
      </c>
      <c r="I11" s="27" t="s">
        <v>236</v>
      </c>
      <c r="J11" s="27" t="s">
        <v>236</v>
      </c>
      <c r="K11" s="27" t="s">
        <v>236</v>
      </c>
      <c r="L11" s="27" t="s">
        <v>236</v>
      </c>
      <c r="M11" s="27" t="s">
        <v>236</v>
      </c>
      <c r="N11" s="27" t="s">
        <v>236</v>
      </c>
      <c r="O11" s="27" t="s">
        <v>236</v>
      </c>
      <c r="P11" s="27"/>
      <c r="Q11" s="27">
        <f>COUNTIF(E11:P11,"PAID")</f>
        <v>0</v>
      </c>
      <c r="R11" s="41">
        <f t="shared" si="2"/>
        <v>0</v>
      </c>
      <c r="S11" s="27">
        <f>COUNTIF(E11:P11,"UNPAID")</f>
        <v>11</v>
      </c>
      <c r="T11" s="41">
        <f t="shared" si="4"/>
        <v>8800</v>
      </c>
      <c r="X11" s="42"/>
    </row>
    <row r="12" spans="1:39">
      <c r="A12" s="27">
        <f t="shared" si="0"/>
        <v>6</v>
      </c>
      <c r="B12" s="27" t="str">
        <f>'All Names'!B13</f>
        <v>Student 6</v>
      </c>
      <c r="C12" s="27" t="str">
        <f>'All Names'!C13</f>
        <v>9th</v>
      </c>
      <c r="D12" s="41">
        <f>'All Names'!E13</f>
        <v>900</v>
      </c>
      <c r="E12" s="27" t="s">
        <v>236</v>
      </c>
      <c r="F12" s="27" t="s">
        <v>236</v>
      </c>
      <c r="G12" s="27" t="s">
        <v>236</v>
      </c>
      <c r="H12" s="27" t="s">
        <v>236</v>
      </c>
      <c r="I12" s="27" t="s">
        <v>236</v>
      </c>
      <c r="J12" s="27" t="s">
        <v>236</v>
      </c>
      <c r="K12" s="27" t="s">
        <v>236</v>
      </c>
      <c r="L12" s="27" t="s">
        <v>236</v>
      </c>
      <c r="M12" s="27" t="s">
        <v>236</v>
      </c>
      <c r="N12" s="27" t="s">
        <v>236</v>
      </c>
      <c r="O12" s="27" t="s">
        <v>236</v>
      </c>
      <c r="P12" s="27"/>
      <c r="Q12" s="27">
        <f t="shared" si="1"/>
        <v>0</v>
      </c>
      <c r="R12" s="41">
        <f t="shared" si="2"/>
        <v>0</v>
      </c>
      <c r="S12" s="27">
        <f t="shared" si="3"/>
        <v>11</v>
      </c>
      <c r="T12" s="41">
        <f t="shared" si="4"/>
        <v>9900</v>
      </c>
      <c r="X12" s="42"/>
    </row>
    <row r="13" spans="1:39">
      <c r="A13" s="27">
        <f t="shared" si="0"/>
        <v>7</v>
      </c>
      <c r="B13" s="27" t="str">
        <f>'All Names'!B14</f>
        <v>Student 7</v>
      </c>
      <c r="C13" s="27" t="str">
        <f>'All Names'!C14</f>
        <v>6th</v>
      </c>
      <c r="D13" s="41">
        <f>'All Names'!E14</f>
        <v>600</v>
      </c>
      <c r="E13" s="27" t="s">
        <v>236</v>
      </c>
      <c r="F13" s="27" t="s">
        <v>236</v>
      </c>
      <c r="G13" s="27" t="s">
        <v>236</v>
      </c>
      <c r="H13" s="27" t="s">
        <v>236</v>
      </c>
      <c r="I13" s="27" t="s">
        <v>236</v>
      </c>
      <c r="J13" s="27" t="s">
        <v>236</v>
      </c>
      <c r="K13" s="27" t="s">
        <v>236</v>
      </c>
      <c r="L13" s="27" t="s">
        <v>236</v>
      </c>
      <c r="M13" s="27" t="s">
        <v>236</v>
      </c>
      <c r="N13" s="27" t="s">
        <v>236</v>
      </c>
      <c r="O13" s="27" t="s">
        <v>236</v>
      </c>
      <c r="P13" s="27"/>
      <c r="Q13" s="27">
        <f t="shared" si="1"/>
        <v>0</v>
      </c>
      <c r="R13" s="41">
        <f t="shared" si="2"/>
        <v>0</v>
      </c>
      <c r="S13" s="27">
        <f t="shared" si="3"/>
        <v>11</v>
      </c>
      <c r="T13" s="41">
        <f t="shared" si="4"/>
        <v>6600</v>
      </c>
      <c r="X13" s="42"/>
    </row>
    <row r="14" spans="1:39">
      <c r="A14" s="27">
        <f t="shared" si="0"/>
        <v>8</v>
      </c>
      <c r="B14" s="27" t="str">
        <f>'All Names'!B15</f>
        <v>Student 8</v>
      </c>
      <c r="C14" s="27" t="str">
        <f>'All Names'!C15</f>
        <v>1st</v>
      </c>
      <c r="D14" s="41">
        <f>'All Names'!E15</f>
        <v>250</v>
      </c>
      <c r="E14" s="27" t="s">
        <v>236</v>
      </c>
      <c r="F14" s="27" t="s">
        <v>236</v>
      </c>
      <c r="G14" s="27" t="s">
        <v>236</v>
      </c>
      <c r="H14" s="27" t="s">
        <v>236</v>
      </c>
      <c r="I14" s="27" t="s">
        <v>236</v>
      </c>
      <c r="J14" s="27" t="s">
        <v>236</v>
      </c>
      <c r="K14" s="27" t="s">
        <v>236</v>
      </c>
      <c r="L14" s="27" t="s">
        <v>236</v>
      </c>
      <c r="M14" s="27" t="s">
        <v>236</v>
      </c>
      <c r="N14" s="27" t="s">
        <v>236</v>
      </c>
      <c r="O14" s="27" t="s">
        <v>236</v>
      </c>
      <c r="P14" s="27"/>
      <c r="Q14" s="27">
        <f t="shared" si="1"/>
        <v>0</v>
      </c>
      <c r="R14" s="41">
        <f t="shared" si="2"/>
        <v>0</v>
      </c>
      <c r="S14" s="27">
        <f t="shared" si="3"/>
        <v>11</v>
      </c>
      <c r="T14" s="41">
        <f t="shared" si="4"/>
        <v>2750</v>
      </c>
      <c r="X14" s="42"/>
    </row>
    <row r="15" spans="1:39">
      <c r="A15" s="27">
        <f t="shared" si="0"/>
        <v>9</v>
      </c>
      <c r="B15" s="27" t="str">
        <f>'All Names'!B16</f>
        <v>Student 9</v>
      </c>
      <c r="C15" s="27" t="str">
        <f>'All Names'!C16</f>
        <v>0th</v>
      </c>
      <c r="D15" s="41">
        <f>'All Names'!E16</f>
        <v>0</v>
      </c>
      <c r="E15" s="27" t="s">
        <v>205</v>
      </c>
      <c r="F15" s="27" t="s">
        <v>205</v>
      </c>
      <c r="G15" s="27" t="s">
        <v>205</v>
      </c>
      <c r="H15" s="27" t="s">
        <v>205</v>
      </c>
      <c r="I15" s="27" t="s">
        <v>205</v>
      </c>
      <c r="J15" s="27" t="s">
        <v>205</v>
      </c>
      <c r="K15" s="27" t="s">
        <v>205</v>
      </c>
      <c r="L15" s="27" t="s">
        <v>205</v>
      </c>
      <c r="M15" s="27" t="s">
        <v>205</v>
      </c>
      <c r="N15" s="27" t="s">
        <v>205</v>
      </c>
      <c r="O15" s="27" t="s">
        <v>205</v>
      </c>
      <c r="P15" s="27"/>
      <c r="Q15" s="27">
        <f t="shared" si="1"/>
        <v>11</v>
      </c>
      <c r="R15" s="41">
        <f t="shared" si="2"/>
        <v>0</v>
      </c>
      <c r="S15" s="27">
        <f t="shared" si="3"/>
        <v>0</v>
      </c>
      <c r="T15" s="41">
        <f t="shared" si="4"/>
        <v>0</v>
      </c>
      <c r="X15" s="42"/>
    </row>
    <row r="16" spans="1:39">
      <c r="A16" s="27">
        <f t="shared" si="0"/>
        <v>10</v>
      </c>
      <c r="B16" s="43" t="str">
        <f>'All Names'!B17</f>
        <v>Student 10</v>
      </c>
      <c r="C16" s="43" t="str">
        <f>'All Names'!C17</f>
        <v>10th</v>
      </c>
      <c r="D16" s="44">
        <f>'All Names'!E17</f>
        <v>1300</v>
      </c>
      <c r="E16" s="27" t="s">
        <v>232</v>
      </c>
      <c r="F16" s="27" t="s">
        <v>232</v>
      </c>
      <c r="G16" s="27" t="s">
        <v>232</v>
      </c>
      <c r="H16" s="27" t="s">
        <v>232</v>
      </c>
      <c r="I16" s="27" t="s">
        <v>232</v>
      </c>
      <c r="J16" s="27" t="s">
        <v>232</v>
      </c>
      <c r="K16" s="27" t="s">
        <v>232</v>
      </c>
      <c r="L16" s="27" t="s">
        <v>232</v>
      </c>
      <c r="M16" s="27" t="s">
        <v>232</v>
      </c>
      <c r="N16" s="27" t="s">
        <v>232</v>
      </c>
      <c r="O16" s="27" t="s">
        <v>232</v>
      </c>
      <c r="P16" s="27"/>
      <c r="Q16" s="27">
        <f t="shared" si="1"/>
        <v>0</v>
      </c>
      <c r="R16" s="41">
        <f t="shared" si="2"/>
        <v>0</v>
      </c>
      <c r="S16" s="27">
        <f t="shared" si="3"/>
        <v>0</v>
      </c>
      <c r="T16" s="41">
        <f t="shared" si="4"/>
        <v>0</v>
      </c>
      <c r="X16" s="42"/>
    </row>
    <row r="17" spans="1:24">
      <c r="A17" s="27">
        <f t="shared" si="0"/>
        <v>11</v>
      </c>
      <c r="B17" s="45" t="str">
        <f>'All Names'!B18</f>
        <v>Student 11</v>
      </c>
      <c r="C17" s="45" t="str">
        <f>'All Names'!C18</f>
        <v>8th</v>
      </c>
      <c r="D17" s="46">
        <f>'All Names'!E18</f>
        <v>800</v>
      </c>
      <c r="E17" s="27" t="s">
        <v>237</v>
      </c>
      <c r="F17" s="27" t="s">
        <v>205</v>
      </c>
      <c r="G17" s="27"/>
      <c r="H17" s="27"/>
      <c r="I17" s="27"/>
      <c r="J17" s="27"/>
      <c r="K17" s="27"/>
      <c r="L17" s="27"/>
      <c r="M17" s="27"/>
      <c r="N17" s="27"/>
      <c r="O17" s="27"/>
      <c r="P17" s="27"/>
      <c r="Q17" s="27">
        <f t="shared" si="1"/>
        <v>1</v>
      </c>
      <c r="R17" s="41">
        <f t="shared" si="2"/>
        <v>800</v>
      </c>
      <c r="S17" s="27">
        <f t="shared" si="3"/>
        <v>0</v>
      </c>
      <c r="T17" s="41">
        <f t="shared" si="4"/>
        <v>0</v>
      </c>
      <c r="X17" s="42"/>
    </row>
    <row r="18" spans="1:24">
      <c r="A18" s="27">
        <f t="shared" si="0"/>
        <v>12</v>
      </c>
      <c r="B18" s="33" t="str">
        <f>'All Names'!B19</f>
        <v>Student 12</v>
      </c>
      <c r="C18" s="33" t="str">
        <f>'All Names'!C19</f>
        <v>5th</v>
      </c>
      <c r="D18" s="47">
        <f>'All Names'!E19</f>
        <v>500</v>
      </c>
      <c r="E18" s="27" t="s">
        <v>237</v>
      </c>
      <c r="F18" s="27" t="s">
        <v>205</v>
      </c>
      <c r="G18" s="27"/>
      <c r="H18" s="27"/>
      <c r="I18" s="27"/>
      <c r="J18" s="27"/>
      <c r="K18" s="27"/>
      <c r="L18" s="27"/>
      <c r="M18" s="27"/>
      <c r="N18" s="27"/>
      <c r="O18" s="27"/>
      <c r="P18" s="27"/>
      <c r="Q18" s="27">
        <f t="shared" si="1"/>
        <v>1</v>
      </c>
      <c r="R18" s="41">
        <f t="shared" si="2"/>
        <v>500</v>
      </c>
      <c r="S18" s="27">
        <f t="shared" si="3"/>
        <v>0</v>
      </c>
      <c r="T18" s="41">
        <f t="shared" si="4"/>
        <v>0</v>
      </c>
      <c r="X18" s="42"/>
    </row>
    <row r="19" spans="1:24">
      <c r="A19" s="27">
        <f t="shared" si="0"/>
        <v>13</v>
      </c>
      <c r="B19" s="27" t="str">
        <f>'All Names'!B20</f>
        <v>Student 13</v>
      </c>
      <c r="C19" s="27" t="str">
        <f>'All Names'!C20</f>
        <v>1st</v>
      </c>
      <c r="D19" s="41">
        <f>'All Names'!E20</f>
        <v>200</v>
      </c>
      <c r="E19" s="27" t="s">
        <v>236</v>
      </c>
      <c r="F19" s="27" t="s">
        <v>236</v>
      </c>
      <c r="G19" s="27" t="s">
        <v>236</v>
      </c>
      <c r="H19" s="27" t="s">
        <v>236</v>
      </c>
      <c r="I19" s="27" t="s">
        <v>236</v>
      </c>
      <c r="J19" s="27" t="s">
        <v>236</v>
      </c>
      <c r="K19" s="27" t="s">
        <v>236</v>
      </c>
      <c r="L19" s="27" t="s">
        <v>236</v>
      </c>
      <c r="M19" s="27" t="s">
        <v>236</v>
      </c>
      <c r="N19" s="27" t="s">
        <v>236</v>
      </c>
      <c r="O19" s="27" t="s">
        <v>236</v>
      </c>
      <c r="P19" s="27"/>
      <c r="Q19" s="27">
        <f t="shared" si="1"/>
        <v>0</v>
      </c>
      <c r="R19" s="41">
        <f t="shared" si="2"/>
        <v>0</v>
      </c>
      <c r="S19" s="27">
        <f t="shared" si="3"/>
        <v>11</v>
      </c>
      <c r="T19" s="41">
        <f t="shared" si="4"/>
        <v>2200</v>
      </c>
      <c r="X19" s="42"/>
    </row>
    <row r="20" spans="1:24">
      <c r="A20" s="27">
        <f t="shared" si="0"/>
        <v>14</v>
      </c>
      <c r="B20" s="27" t="str">
        <f>'All Names'!B21</f>
        <v>Student 14</v>
      </c>
      <c r="C20" s="27" t="str">
        <f>'All Names'!C21</f>
        <v>4th</v>
      </c>
      <c r="D20" s="41">
        <f>'All Names'!E21</f>
        <v>400</v>
      </c>
      <c r="E20" s="27" t="s">
        <v>205</v>
      </c>
      <c r="F20" s="27" t="s">
        <v>205</v>
      </c>
      <c r="G20" s="27"/>
      <c r="H20" s="27"/>
      <c r="I20" s="27"/>
      <c r="J20" s="27"/>
      <c r="K20" s="27"/>
      <c r="L20" s="27"/>
      <c r="M20" s="27"/>
      <c r="N20" s="27"/>
      <c r="O20" s="27"/>
      <c r="P20" s="27"/>
      <c r="Q20" s="27">
        <f t="shared" si="1"/>
        <v>2</v>
      </c>
      <c r="R20" s="41">
        <f t="shared" si="2"/>
        <v>800</v>
      </c>
      <c r="S20" s="27">
        <f t="shared" si="3"/>
        <v>0</v>
      </c>
      <c r="T20" s="41">
        <f t="shared" si="4"/>
        <v>0</v>
      </c>
      <c r="X20" s="42"/>
    </row>
    <row r="21" spans="1:24">
      <c r="A21" s="27">
        <f t="shared" si="0"/>
        <v>15</v>
      </c>
      <c r="B21" s="27" t="str">
        <f>'All Names'!B22</f>
        <v>Student 15</v>
      </c>
      <c r="C21" s="27" t="str">
        <f>'All Names'!C22</f>
        <v>3rd</v>
      </c>
      <c r="D21" s="41">
        <f>'All Names'!E22</f>
        <v>300</v>
      </c>
      <c r="E21" s="27" t="s">
        <v>205</v>
      </c>
      <c r="F21" s="27" t="s">
        <v>205</v>
      </c>
      <c r="G21" s="27"/>
      <c r="H21" s="27"/>
      <c r="I21" s="27"/>
      <c r="J21" s="27"/>
      <c r="K21" s="27"/>
      <c r="L21" s="27"/>
      <c r="M21" s="27"/>
      <c r="N21" s="27"/>
      <c r="O21" s="27"/>
      <c r="P21" s="27"/>
      <c r="Q21" s="27">
        <f t="shared" si="1"/>
        <v>2</v>
      </c>
      <c r="R21" s="41">
        <f t="shared" si="2"/>
        <v>600</v>
      </c>
      <c r="S21" s="27">
        <f t="shared" si="3"/>
        <v>0</v>
      </c>
      <c r="T21" s="41">
        <f t="shared" si="4"/>
        <v>0</v>
      </c>
    </row>
    <row r="22" spans="1:24">
      <c r="A22" s="27">
        <f t="shared" si="0"/>
        <v>16</v>
      </c>
      <c r="B22" s="27" t="str">
        <f>'All Names'!B23</f>
        <v>Student 16</v>
      </c>
      <c r="C22" s="27" t="str">
        <f>'All Names'!C23</f>
        <v>10th</v>
      </c>
      <c r="D22" s="41">
        <f>'All Names'!E23</f>
        <v>1200</v>
      </c>
      <c r="E22" s="27" t="s">
        <v>236</v>
      </c>
      <c r="F22" s="27" t="s">
        <v>236</v>
      </c>
      <c r="G22" s="27" t="s">
        <v>236</v>
      </c>
      <c r="H22" s="27" t="s">
        <v>236</v>
      </c>
      <c r="I22" s="27" t="s">
        <v>236</v>
      </c>
      <c r="J22" s="27" t="s">
        <v>236</v>
      </c>
      <c r="K22" s="27" t="s">
        <v>236</v>
      </c>
      <c r="L22" s="27" t="s">
        <v>236</v>
      </c>
      <c r="M22" s="27" t="s">
        <v>236</v>
      </c>
      <c r="N22" s="27" t="s">
        <v>236</v>
      </c>
      <c r="O22" s="27" t="s">
        <v>236</v>
      </c>
      <c r="P22" s="27"/>
      <c r="Q22" s="27">
        <f t="shared" si="1"/>
        <v>0</v>
      </c>
      <c r="R22" s="41">
        <f t="shared" si="2"/>
        <v>0</v>
      </c>
      <c r="S22" s="27">
        <f t="shared" si="3"/>
        <v>11</v>
      </c>
      <c r="T22" s="41">
        <f t="shared" si="4"/>
        <v>13200</v>
      </c>
      <c r="V22" s="42"/>
    </row>
    <row r="23" spans="1:24">
      <c r="A23" s="27">
        <f t="shared" si="0"/>
        <v>17</v>
      </c>
      <c r="B23" s="27" t="str">
        <f>'All Names'!B24</f>
        <v>Student 17</v>
      </c>
      <c r="C23" s="27" t="str">
        <f>'All Names'!C24</f>
        <v>3rd</v>
      </c>
      <c r="D23" s="41">
        <f>'All Names'!E24</f>
        <v>300</v>
      </c>
      <c r="E23" s="27" t="s">
        <v>237</v>
      </c>
      <c r="F23" s="27" t="s">
        <v>205</v>
      </c>
      <c r="G23" s="27"/>
      <c r="H23" s="27"/>
      <c r="I23" s="27"/>
      <c r="J23" s="27"/>
      <c r="K23" s="27"/>
      <c r="L23" s="27"/>
      <c r="M23" s="27"/>
      <c r="N23" s="27"/>
      <c r="O23" s="27"/>
      <c r="P23" s="27"/>
      <c r="Q23" s="27">
        <f t="shared" si="1"/>
        <v>1</v>
      </c>
      <c r="R23" s="41">
        <f t="shared" si="2"/>
        <v>300</v>
      </c>
      <c r="S23" s="27">
        <f t="shared" si="3"/>
        <v>0</v>
      </c>
      <c r="T23" s="41">
        <f t="shared" si="4"/>
        <v>0</v>
      </c>
      <c r="W23" s="42"/>
    </row>
    <row r="24" spans="1:24">
      <c r="A24" s="27">
        <f t="shared" si="0"/>
        <v>18</v>
      </c>
      <c r="B24" s="27" t="str">
        <f>'All Names'!B25</f>
        <v>Student 18</v>
      </c>
      <c r="C24" s="27" t="str">
        <f>'All Names'!C25</f>
        <v>4th</v>
      </c>
      <c r="D24" s="41">
        <f>'All Names'!E25</f>
        <v>350</v>
      </c>
      <c r="E24" s="27" t="s">
        <v>237</v>
      </c>
      <c r="F24" s="27" t="s">
        <v>205</v>
      </c>
      <c r="G24" s="27"/>
      <c r="H24" s="27"/>
      <c r="I24" s="27"/>
      <c r="J24" s="27"/>
      <c r="K24" s="27"/>
      <c r="L24" s="27"/>
      <c r="M24" s="27"/>
      <c r="N24" s="27"/>
      <c r="O24" s="27"/>
      <c r="P24" s="27"/>
      <c r="Q24" s="27">
        <f t="shared" si="1"/>
        <v>1</v>
      </c>
      <c r="R24" s="41">
        <f t="shared" si="2"/>
        <v>350</v>
      </c>
      <c r="S24" s="27">
        <f t="shared" si="3"/>
        <v>0</v>
      </c>
      <c r="T24" s="41">
        <f t="shared" si="4"/>
        <v>0</v>
      </c>
    </row>
    <row r="25" spans="1:24">
      <c r="A25" s="27">
        <f t="shared" si="0"/>
        <v>19</v>
      </c>
      <c r="B25" s="27" t="str">
        <f>'All Names'!B26</f>
        <v>Student 19</v>
      </c>
      <c r="C25" s="27" t="str">
        <f>'All Names'!C26</f>
        <v>1st</v>
      </c>
      <c r="D25" s="41">
        <f>'All Names'!E26</f>
        <v>250</v>
      </c>
      <c r="E25" s="27" t="s">
        <v>205</v>
      </c>
      <c r="F25" s="27" t="s">
        <v>205</v>
      </c>
      <c r="G25" s="27"/>
      <c r="H25" s="27"/>
      <c r="I25" s="27"/>
      <c r="J25" s="27"/>
      <c r="K25" s="27"/>
      <c r="L25" s="27"/>
      <c r="M25" s="27"/>
      <c r="N25" s="27"/>
      <c r="O25" s="27"/>
      <c r="P25" s="27"/>
      <c r="Q25" s="27">
        <f t="shared" si="1"/>
        <v>2</v>
      </c>
      <c r="R25" s="41">
        <f t="shared" si="2"/>
        <v>500</v>
      </c>
      <c r="S25" s="27">
        <f t="shared" si="3"/>
        <v>0</v>
      </c>
      <c r="T25" s="41">
        <f t="shared" si="4"/>
        <v>0</v>
      </c>
    </row>
    <row r="26" spans="1:24">
      <c r="A26" s="27">
        <f t="shared" si="0"/>
        <v>20</v>
      </c>
      <c r="B26" s="27" t="str">
        <f>'All Names'!B27</f>
        <v>Student 20</v>
      </c>
      <c r="C26" s="27" t="str">
        <f>'All Names'!C27</f>
        <v>4th</v>
      </c>
      <c r="D26" s="41">
        <f>'All Names'!E27</f>
        <v>300</v>
      </c>
      <c r="E26" s="27" t="s">
        <v>205</v>
      </c>
      <c r="F26" s="27" t="s">
        <v>205</v>
      </c>
      <c r="G26" s="27"/>
      <c r="H26" s="27"/>
      <c r="I26" s="27"/>
      <c r="J26" s="27"/>
      <c r="K26" s="27"/>
      <c r="L26" s="27"/>
      <c r="M26" s="27"/>
      <c r="N26" s="27"/>
      <c r="O26" s="27"/>
      <c r="P26" s="27"/>
      <c r="Q26" s="27">
        <f t="shared" si="1"/>
        <v>2</v>
      </c>
      <c r="R26" s="41">
        <f t="shared" si="2"/>
        <v>600</v>
      </c>
      <c r="S26" s="27">
        <f t="shared" si="3"/>
        <v>0</v>
      </c>
      <c r="T26" s="41">
        <f t="shared" si="4"/>
        <v>0</v>
      </c>
    </row>
    <row r="27" spans="1:24">
      <c r="A27" s="27">
        <f t="shared" si="0"/>
        <v>21</v>
      </c>
      <c r="B27" s="43" t="str">
        <f>'All Names'!B28</f>
        <v>Student 21</v>
      </c>
      <c r="C27" s="43" t="str">
        <f>'All Names'!C28</f>
        <v>5th</v>
      </c>
      <c r="D27" s="44">
        <f>'All Names'!E28</f>
        <v>500</v>
      </c>
      <c r="E27" s="27" t="s">
        <v>232</v>
      </c>
      <c r="F27" s="27" t="s">
        <v>232</v>
      </c>
      <c r="G27" s="27" t="s">
        <v>232</v>
      </c>
      <c r="H27" s="27" t="s">
        <v>232</v>
      </c>
      <c r="I27" s="27" t="s">
        <v>232</v>
      </c>
      <c r="J27" s="27" t="s">
        <v>232</v>
      </c>
      <c r="K27" s="27" t="s">
        <v>232</v>
      </c>
      <c r="L27" s="27" t="s">
        <v>232</v>
      </c>
      <c r="M27" s="27" t="s">
        <v>232</v>
      </c>
      <c r="N27" s="27" t="s">
        <v>232</v>
      </c>
      <c r="O27" s="27" t="s">
        <v>232</v>
      </c>
      <c r="P27" s="27"/>
      <c r="Q27" s="27">
        <f t="shared" si="1"/>
        <v>0</v>
      </c>
      <c r="R27" s="41">
        <f t="shared" si="2"/>
        <v>0</v>
      </c>
      <c r="S27" s="27">
        <f t="shared" si="3"/>
        <v>0</v>
      </c>
      <c r="T27" s="41">
        <f t="shared" si="4"/>
        <v>0</v>
      </c>
      <c r="X27" s="42"/>
    </row>
    <row r="28" spans="1:24">
      <c r="A28" s="27">
        <f t="shared" si="0"/>
        <v>22</v>
      </c>
      <c r="B28" s="43" t="str">
        <f>'All Names'!B29</f>
        <v>Student 22</v>
      </c>
      <c r="C28" s="43" t="str">
        <f>'All Names'!C29</f>
        <v>2nd</v>
      </c>
      <c r="D28" s="44">
        <f>'All Names'!E29</f>
        <v>250</v>
      </c>
      <c r="E28" s="27" t="s">
        <v>205</v>
      </c>
      <c r="F28" s="27" t="s">
        <v>236</v>
      </c>
      <c r="G28" s="27" t="s">
        <v>232</v>
      </c>
      <c r="H28" s="27" t="s">
        <v>232</v>
      </c>
      <c r="I28" s="27" t="s">
        <v>232</v>
      </c>
      <c r="J28" s="27" t="s">
        <v>232</v>
      </c>
      <c r="K28" s="27" t="s">
        <v>232</v>
      </c>
      <c r="L28" s="27" t="s">
        <v>232</v>
      </c>
      <c r="M28" s="27" t="s">
        <v>232</v>
      </c>
      <c r="N28" s="27" t="s">
        <v>232</v>
      </c>
      <c r="O28" s="27" t="s">
        <v>232</v>
      </c>
      <c r="P28" s="27"/>
      <c r="Q28" s="27">
        <f t="shared" si="1"/>
        <v>1</v>
      </c>
      <c r="R28" s="41">
        <f t="shared" si="2"/>
        <v>250</v>
      </c>
      <c r="S28" s="27">
        <f t="shared" si="3"/>
        <v>1</v>
      </c>
      <c r="T28" s="41">
        <f t="shared" si="4"/>
        <v>250</v>
      </c>
      <c r="X28" s="42"/>
    </row>
    <row r="29" spans="1:24">
      <c r="A29" s="27">
        <f t="shared" si="0"/>
        <v>23</v>
      </c>
      <c r="B29" s="45" t="str">
        <f>'All Names'!B30</f>
        <v>Student 23</v>
      </c>
      <c r="C29" s="45" t="str">
        <f>'All Names'!C30</f>
        <v>2nd</v>
      </c>
      <c r="D29" s="46">
        <f>'All Names'!E30</f>
        <v>250</v>
      </c>
      <c r="E29" s="27" t="s">
        <v>205</v>
      </c>
      <c r="F29" s="27" t="s">
        <v>205</v>
      </c>
      <c r="G29" s="27"/>
      <c r="H29" s="27"/>
      <c r="I29" s="27"/>
      <c r="J29" s="27"/>
      <c r="K29" s="27"/>
      <c r="L29" s="27"/>
      <c r="M29" s="27"/>
      <c r="N29" s="27"/>
      <c r="O29" s="27"/>
      <c r="P29" s="27"/>
      <c r="Q29" s="27">
        <f t="shared" si="1"/>
        <v>2</v>
      </c>
      <c r="R29" s="41">
        <f t="shared" si="2"/>
        <v>500</v>
      </c>
      <c r="S29" s="27">
        <f t="shared" si="3"/>
        <v>0</v>
      </c>
      <c r="T29" s="41">
        <f t="shared" si="4"/>
        <v>0</v>
      </c>
      <c r="X29" s="42"/>
    </row>
    <row r="30" spans="1:24">
      <c r="A30" s="27">
        <f t="shared" si="0"/>
        <v>24</v>
      </c>
      <c r="B30" s="27" t="str">
        <f>'All Names'!B31</f>
        <v>Student 24</v>
      </c>
      <c r="C30" s="27" t="str">
        <f>'All Names'!C31</f>
        <v>Jr.kg/Sr.kg</v>
      </c>
      <c r="D30" s="41">
        <f>'All Names'!E31</f>
        <v>200</v>
      </c>
      <c r="E30" s="27" t="s">
        <v>205</v>
      </c>
      <c r="F30" s="27" t="s">
        <v>205</v>
      </c>
      <c r="G30" s="27"/>
      <c r="H30" s="27"/>
      <c r="I30" s="27"/>
      <c r="J30" s="27"/>
      <c r="K30" s="27"/>
      <c r="L30" s="27"/>
      <c r="M30" s="27"/>
      <c r="N30" s="27"/>
      <c r="O30" s="27"/>
      <c r="P30" s="27"/>
      <c r="Q30" s="27">
        <f t="shared" si="1"/>
        <v>2</v>
      </c>
      <c r="R30" s="41">
        <f t="shared" si="2"/>
        <v>400</v>
      </c>
      <c r="S30" s="27">
        <f t="shared" si="3"/>
        <v>0</v>
      </c>
      <c r="T30" s="41">
        <f t="shared" si="4"/>
        <v>0</v>
      </c>
      <c r="X30" s="42"/>
    </row>
    <row r="31" spans="1:24">
      <c r="A31" s="27">
        <f t="shared" si="0"/>
        <v>25</v>
      </c>
      <c r="B31" s="27" t="str">
        <f>'All Names'!B32</f>
        <v>Student 25</v>
      </c>
      <c r="C31" s="27" t="str">
        <f>'All Names'!C32</f>
        <v>5th</v>
      </c>
      <c r="D31" s="41">
        <f>'All Names'!E32</f>
        <v>500</v>
      </c>
      <c r="E31" s="27" t="s">
        <v>236</v>
      </c>
      <c r="F31" s="27" t="s">
        <v>236</v>
      </c>
      <c r="G31" s="27" t="s">
        <v>236</v>
      </c>
      <c r="H31" s="27" t="s">
        <v>236</v>
      </c>
      <c r="I31" s="27" t="s">
        <v>236</v>
      </c>
      <c r="J31" s="27" t="s">
        <v>236</v>
      </c>
      <c r="K31" s="27" t="s">
        <v>236</v>
      </c>
      <c r="L31" s="27" t="s">
        <v>236</v>
      </c>
      <c r="M31" s="27" t="s">
        <v>236</v>
      </c>
      <c r="N31" s="27" t="s">
        <v>236</v>
      </c>
      <c r="O31" s="27" t="s">
        <v>236</v>
      </c>
      <c r="P31" s="27"/>
      <c r="Q31" s="27">
        <f t="shared" si="1"/>
        <v>0</v>
      </c>
      <c r="R31" s="41">
        <f t="shared" si="2"/>
        <v>0</v>
      </c>
      <c r="S31" s="27">
        <f t="shared" si="3"/>
        <v>11</v>
      </c>
      <c r="T31" s="41">
        <f t="shared" si="4"/>
        <v>5500</v>
      </c>
      <c r="X31" s="42"/>
    </row>
    <row r="32" spans="1:24">
      <c r="A32" s="27">
        <f t="shared" si="0"/>
        <v>26</v>
      </c>
      <c r="B32" s="27" t="str">
        <f>'All Names'!B33</f>
        <v>Student 26</v>
      </c>
      <c r="C32" s="27" t="str">
        <f>'All Names'!C33</f>
        <v>Jr.kg/Sr.kg</v>
      </c>
      <c r="D32" s="41">
        <f>'All Names'!E33</f>
        <v>0</v>
      </c>
      <c r="E32" s="27" t="s">
        <v>205</v>
      </c>
      <c r="F32" s="27" t="s">
        <v>205</v>
      </c>
      <c r="G32" s="27" t="s">
        <v>205</v>
      </c>
      <c r="H32" s="27" t="s">
        <v>205</v>
      </c>
      <c r="I32" s="27" t="s">
        <v>205</v>
      </c>
      <c r="J32" s="27" t="s">
        <v>205</v>
      </c>
      <c r="K32" s="27" t="s">
        <v>205</v>
      </c>
      <c r="L32" s="27" t="s">
        <v>205</v>
      </c>
      <c r="M32" s="27" t="s">
        <v>205</v>
      </c>
      <c r="N32" s="27" t="s">
        <v>205</v>
      </c>
      <c r="O32" s="27" t="s">
        <v>205</v>
      </c>
      <c r="P32" s="27"/>
      <c r="Q32" s="27">
        <f t="shared" si="1"/>
        <v>11</v>
      </c>
      <c r="R32" s="41">
        <f t="shared" si="2"/>
        <v>0</v>
      </c>
      <c r="S32" s="27">
        <f t="shared" si="3"/>
        <v>0</v>
      </c>
      <c r="T32" s="41">
        <f t="shared" si="4"/>
        <v>0</v>
      </c>
      <c r="X32" s="42"/>
    </row>
    <row r="33" spans="1:24">
      <c r="A33" s="27">
        <f t="shared" si="0"/>
        <v>27</v>
      </c>
      <c r="B33" s="27" t="str">
        <f>'All Names'!B34</f>
        <v>Student 27</v>
      </c>
      <c r="C33" s="27" t="str">
        <f>'All Names'!C34</f>
        <v>3rd</v>
      </c>
      <c r="D33" s="41">
        <f>'All Names'!E34</f>
        <v>300</v>
      </c>
      <c r="E33" s="27" t="s">
        <v>205</v>
      </c>
      <c r="F33" s="27" t="s">
        <v>205</v>
      </c>
      <c r="G33" s="27"/>
      <c r="H33" s="27"/>
      <c r="I33" s="27"/>
      <c r="J33" s="27"/>
      <c r="K33" s="27"/>
      <c r="L33" s="27"/>
      <c r="M33" s="27"/>
      <c r="N33" s="27"/>
      <c r="O33" s="27"/>
      <c r="P33" s="27"/>
      <c r="Q33" s="27">
        <f t="shared" si="1"/>
        <v>2</v>
      </c>
      <c r="R33" s="41">
        <f t="shared" si="2"/>
        <v>600</v>
      </c>
      <c r="S33" s="27">
        <f t="shared" si="3"/>
        <v>0</v>
      </c>
      <c r="T33" s="41">
        <f t="shared" si="4"/>
        <v>0</v>
      </c>
      <c r="X33" s="42"/>
    </row>
    <row r="34" spans="1:24">
      <c r="A34" s="27">
        <f t="shared" si="0"/>
        <v>28</v>
      </c>
      <c r="B34" s="27" t="str">
        <f>'All Names'!B35</f>
        <v>Student 28</v>
      </c>
      <c r="C34" s="27" t="str">
        <f>'All Names'!C35</f>
        <v>4th</v>
      </c>
      <c r="D34" s="41">
        <f>'All Names'!E35</f>
        <v>350</v>
      </c>
      <c r="E34" s="27" t="s">
        <v>237</v>
      </c>
      <c r="F34" s="27" t="s">
        <v>205</v>
      </c>
      <c r="G34" s="27"/>
      <c r="H34" s="27"/>
      <c r="I34" s="27"/>
      <c r="J34" s="27"/>
      <c r="K34" s="27"/>
      <c r="L34" s="27"/>
      <c r="M34" s="27"/>
      <c r="N34" s="27"/>
      <c r="O34" s="27"/>
      <c r="P34" s="27"/>
      <c r="Q34" s="27">
        <f t="shared" si="1"/>
        <v>1</v>
      </c>
      <c r="R34" s="41">
        <f t="shared" si="2"/>
        <v>350</v>
      </c>
      <c r="S34" s="27">
        <f t="shared" si="3"/>
        <v>0</v>
      </c>
      <c r="T34" s="41">
        <f t="shared" si="4"/>
        <v>0</v>
      </c>
      <c r="X34" s="42"/>
    </row>
    <row r="35" spans="1:24">
      <c r="A35" s="27">
        <f t="shared" si="0"/>
        <v>29</v>
      </c>
      <c r="B35" s="27" t="str">
        <f>'All Names'!B36</f>
        <v>Student 29</v>
      </c>
      <c r="C35" s="27" t="str">
        <f>'All Names'!C36</f>
        <v>Jr.kg/Sr.kg</v>
      </c>
      <c r="D35" s="41">
        <f>'All Names'!E36</f>
        <v>200</v>
      </c>
      <c r="E35" s="27" t="s">
        <v>237</v>
      </c>
      <c r="F35" s="27" t="s">
        <v>205</v>
      </c>
      <c r="G35" s="27"/>
      <c r="H35" s="27"/>
      <c r="I35" s="27"/>
      <c r="J35" s="27"/>
      <c r="K35" s="27"/>
      <c r="L35" s="27"/>
      <c r="M35" s="27"/>
      <c r="N35" s="27"/>
      <c r="O35" s="27"/>
      <c r="P35" s="27"/>
      <c r="Q35" s="27">
        <f t="shared" si="1"/>
        <v>1</v>
      </c>
      <c r="R35" s="41">
        <f t="shared" si="2"/>
        <v>200</v>
      </c>
      <c r="S35" s="27">
        <f t="shared" si="3"/>
        <v>0</v>
      </c>
      <c r="T35" s="41">
        <f t="shared" si="4"/>
        <v>0</v>
      </c>
      <c r="X35" s="42"/>
    </row>
    <row r="36" spans="1:24">
      <c r="A36" s="27">
        <f t="shared" si="0"/>
        <v>30</v>
      </c>
      <c r="B36" s="43" t="str">
        <f>'All Names'!B37</f>
        <v>Student 30</v>
      </c>
      <c r="C36" s="43" t="str">
        <f>'All Names'!C37</f>
        <v>0th</v>
      </c>
      <c r="D36" s="44">
        <f>'All Names'!E37</f>
        <v>200</v>
      </c>
      <c r="E36" s="27" t="s">
        <v>205</v>
      </c>
      <c r="F36" s="27" t="s">
        <v>232</v>
      </c>
      <c r="G36" s="27" t="s">
        <v>232</v>
      </c>
      <c r="H36" s="27" t="s">
        <v>232</v>
      </c>
      <c r="I36" s="27" t="s">
        <v>232</v>
      </c>
      <c r="J36" s="27" t="s">
        <v>232</v>
      </c>
      <c r="K36" s="27" t="s">
        <v>232</v>
      </c>
      <c r="L36" s="27" t="s">
        <v>232</v>
      </c>
      <c r="M36" s="27" t="s">
        <v>232</v>
      </c>
      <c r="N36" s="27" t="s">
        <v>232</v>
      </c>
      <c r="O36" s="27" t="s">
        <v>232</v>
      </c>
      <c r="P36" s="27"/>
      <c r="Q36" s="27">
        <f t="shared" si="1"/>
        <v>1</v>
      </c>
      <c r="R36" s="41">
        <f t="shared" si="2"/>
        <v>200</v>
      </c>
      <c r="S36" s="27">
        <f t="shared" si="3"/>
        <v>0</v>
      </c>
      <c r="T36" s="41">
        <f t="shared" si="4"/>
        <v>0</v>
      </c>
      <c r="X36" s="42"/>
    </row>
    <row r="37" spans="1:24">
      <c r="A37" s="27">
        <f t="shared" si="0"/>
        <v>31</v>
      </c>
      <c r="B37" s="27" t="str">
        <f>'All Names'!B38</f>
        <v>Student 31</v>
      </c>
      <c r="C37" s="27" t="str">
        <f>'All Names'!C38</f>
        <v>3rd</v>
      </c>
      <c r="D37" s="41">
        <f>'All Names'!E38</f>
        <v>300</v>
      </c>
      <c r="E37" s="27" t="s">
        <v>205</v>
      </c>
      <c r="F37" s="27" t="s">
        <v>205</v>
      </c>
      <c r="G37" s="27"/>
      <c r="H37" s="27"/>
      <c r="I37" s="27"/>
      <c r="J37" s="27"/>
      <c r="K37" s="27"/>
      <c r="L37" s="27"/>
      <c r="M37" s="27"/>
      <c r="N37" s="27"/>
      <c r="O37" s="27"/>
      <c r="P37" s="27"/>
      <c r="Q37" s="27">
        <f t="shared" si="1"/>
        <v>2</v>
      </c>
      <c r="R37" s="41">
        <f t="shared" si="2"/>
        <v>600</v>
      </c>
      <c r="S37" s="27">
        <f t="shared" si="3"/>
        <v>0</v>
      </c>
      <c r="T37" s="41">
        <f t="shared" si="4"/>
        <v>0</v>
      </c>
      <c r="X37" s="42"/>
    </row>
    <row r="38" spans="1:24">
      <c r="A38" s="27">
        <f t="shared" si="0"/>
        <v>32</v>
      </c>
      <c r="B38" s="27" t="str">
        <f>'All Names'!B39</f>
        <v>Student 32</v>
      </c>
      <c r="C38" s="27" t="str">
        <f>'All Names'!C39</f>
        <v>Jr.kg/Sr.kg</v>
      </c>
      <c r="D38" s="41">
        <f>'All Names'!E39</f>
        <v>150</v>
      </c>
      <c r="E38" s="27" t="s">
        <v>205</v>
      </c>
      <c r="F38" s="27" t="s">
        <v>205</v>
      </c>
      <c r="G38" s="27"/>
      <c r="H38" s="27"/>
      <c r="I38" s="27"/>
      <c r="J38" s="27"/>
      <c r="K38" s="27"/>
      <c r="L38" s="27"/>
      <c r="M38" s="27"/>
      <c r="N38" s="27"/>
      <c r="O38" s="27"/>
      <c r="P38" s="27"/>
      <c r="Q38" s="27">
        <f t="shared" si="1"/>
        <v>2</v>
      </c>
      <c r="R38" s="41">
        <f t="shared" si="2"/>
        <v>300</v>
      </c>
      <c r="S38" s="27">
        <f t="shared" si="3"/>
        <v>0</v>
      </c>
      <c r="T38" s="41">
        <f t="shared" si="4"/>
        <v>0</v>
      </c>
      <c r="X38" s="42"/>
    </row>
    <row r="39" spans="1:24">
      <c r="A39" s="27">
        <f t="shared" si="0"/>
        <v>33</v>
      </c>
      <c r="B39" s="27" t="str">
        <f>'All Names'!B40</f>
        <v>Student 33</v>
      </c>
      <c r="C39" s="27" t="str">
        <f>'All Names'!C40</f>
        <v>0th</v>
      </c>
      <c r="D39" s="41">
        <f>'All Names'!E40</f>
        <v>200</v>
      </c>
      <c r="E39" s="27" t="s">
        <v>236</v>
      </c>
      <c r="F39" s="27" t="s">
        <v>237</v>
      </c>
      <c r="G39" s="27" t="s">
        <v>237</v>
      </c>
      <c r="H39" s="27"/>
      <c r="I39" s="27"/>
      <c r="J39" s="27"/>
      <c r="K39" s="27"/>
      <c r="L39" s="27"/>
      <c r="M39" s="27"/>
      <c r="N39" s="27"/>
      <c r="O39" s="27"/>
      <c r="P39" s="27"/>
      <c r="Q39" s="27">
        <f t="shared" si="1"/>
        <v>0</v>
      </c>
      <c r="R39" s="41">
        <f t="shared" si="2"/>
        <v>0</v>
      </c>
      <c r="S39" s="27">
        <f t="shared" si="3"/>
        <v>1</v>
      </c>
      <c r="T39" s="41">
        <f t="shared" si="4"/>
        <v>200</v>
      </c>
    </row>
    <row r="40" spans="1:24">
      <c r="A40" s="27">
        <f t="shared" si="0"/>
        <v>34</v>
      </c>
      <c r="B40" s="27" t="str">
        <f>'All Names'!B41</f>
        <v>Student 34</v>
      </c>
      <c r="C40" s="27" t="str">
        <f>'All Names'!C41</f>
        <v>0th</v>
      </c>
      <c r="D40" s="41">
        <f>'All Names'!E41</f>
        <v>150</v>
      </c>
      <c r="E40" s="27" t="s">
        <v>236</v>
      </c>
      <c r="F40" s="27" t="s">
        <v>236</v>
      </c>
      <c r="G40" s="27" t="s">
        <v>236</v>
      </c>
      <c r="H40" s="27" t="s">
        <v>236</v>
      </c>
      <c r="I40" s="27" t="s">
        <v>236</v>
      </c>
      <c r="J40" s="27" t="s">
        <v>236</v>
      </c>
      <c r="K40" s="27" t="s">
        <v>236</v>
      </c>
      <c r="L40" s="27" t="s">
        <v>236</v>
      </c>
      <c r="M40" s="27" t="s">
        <v>236</v>
      </c>
      <c r="N40" s="27" t="s">
        <v>236</v>
      </c>
      <c r="O40" s="27" t="s">
        <v>236</v>
      </c>
      <c r="P40" s="27"/>
      <c r="Q40" s="27">
        <f t="shared" si="1"/>
        <v>0</v>
      </c>
      <c r="R40" s="41">
        <f t="shared" si="2"/>
        <v>0</v>
      </c>
      <c r="S40" s="27">
        <f t="shared" si="3"/>
        <v>11</v>
      </c>
      <c r="T40" s="41">
        <f t="shared" si="4"/>
        <v>1650</v>
      </c>
    </row>
    <row r="41" spans="1:24">
      <c r="A41" s="27">
        <f t="shared" si="0"/>
        <v>35</v>
      </c>
      <c r="B41" s="27" t="str">
        <f>'All Names'!B42</f>
        <v>Student 35</v>
      </c>
      <c r="C41" s="27" t="str">
        <f>'All Names'!C42</f>
        <v>9th</v>
      </c>
      <c r="D41" s="41">
        <f>'All Names'!E42</f>
        <v>900</v>
      </c>
      <c r="E41" s="27" t="s">
        <v>205</v>
      </c>
      <c r="F41" s="27" t="s">
        <v>205</v>
      </c>
      <c r="G41" s="27"/>
      <c r="H41" s="27"/>
      <c r="I41" s="27"/>
      <c r="J41" s="27"/>
      <c r="K41" s="27"/>
      <c r="L41" s="27"/>
      <c r="M41" s="27"/>
      <c r="N41" s="27"/>
      <c r="O41" s="27"/>
      <c r="P41" s="27"/>
      <c r="Q41" s="27">
        <f t="shared" si="1"/>
        <v>2</v>
      </c>
      <c r="R41" s="41">
        <f t="shared" si="2"/>
        <v>1800</v>
      </c>
      <c r="S41" s="27">
        <f t="shared" si="3"/>
        <v>0</v>
      </c>
      <c r="T41" s="41">
        <f t="shared" si="4"/>
        <v>0</v>
      </c>
      <c r="W41" s="42"/>
    </row>
    <row r="42" spans="1:24">
      <c r="A42" s="27">
        <f t="shared" si="0"/>
        <v>36</v>
      </c>
      <c r="B42" s="27" t="str">
        <f>'All Names'!B43</f>
        <v>Student 36</v>
      </c>
      <c r="C42" s="27" t="str">
        <f>'All Names'!C43</f>
        <v>3rd</v>
      </c>
      <c r="D42" s="41">
        <f>'All Names'!E43</f>
        <v>250</v>
      </c>
      <c r="E42" s="27" t="s">
        <v>237</v>
      </c>
      <c r="F42" s="27" t="s">
        <v>236</v>
      </c>
      <c r="G42" s="27"/>
      <c r="H42" s="27"/>
      <c r="I42" s="27"/>
      <c r="J42" s="27"/>
      <c r="K42" s="27"/>
      <c r="L42" s="27"/>
      <c r="M42" s="27"/>
      <c r="N42" s="27"/>
      <c r="O42" s="27"/>
      <c r="P42" s="27"/>
      <c r="Q42" s="27">
        <f t="shared" si="1"/>
        <v>0</v>
      </c>
      <c r="R42" s="41">
        <f t="shared" si="2"/>
        <v>0</v>
      </c>
      <c r="S42" s="27">
        <f t="shared" si="3"/>
        <v>1</v>
      </c>
      <c r="T42" s="41">
        <f t="shared" si="4"/>
        <v>250</v>
      </c>
    </row>
    <row r="43" spans="1:24">
      <c r="A43" s="27">
        <f t="shared" si="0"/>
        <v>37</v>
      </c>
      <c r="B43" s="27" t="str">
        <f>'All Names'!B44</f>
        <v>Student 37</v>
      </c>
      <c r="C43" s="27" t="str">
        <f>'All Names'!C44</f>
        <v>1st</v>
      </c>
      <c r="D43" s="41">
        <f>'All Names'!E44</f>
        <v>200</v>
      </c>
      <c r="E43" s="27" t="s">
        <v>237</v>
      </c>
      <c r="F43" s="27" t="s">
        <v>236</v>
      </c>
      <c r="G43" s="27"/>
      <c r="H43" s="27"/>
      <c r="I43" s="27"/>
      <c r="J43" s="27"/>
      <c r="K43" s="27"/>
      <c r="L43" s="27"/>
      <c r="M43" s="27"/>
      <c r="N43" s="27"/>
      <c r="O43" s="27"/>
      <c r="P43" s="27"/>
      <c r="Q43" s="27">
        <f t="shared" si="1"/>
        <v>0</v>
      </c>
      <c r="R43" s="41">
        <f t="shared" si="2"/>
        <v>0</v>
      </c>
      <c r="S43" s="27">
        <f t="shared" si="3"/>
        <v>1</v>
      </c>
      <c r="T43" s="41">
        <f t="shared" si="4"/>
        <v>200</v>
      </c>
      <c r="W43" s="39"/>
    </row>
    <row r="44" spans="1:24">
      <c r="A44" s="27">
        <f t="shared" si="0"/>
        <v>38</v>
      </c>
      <c r="B44" s="27" t="str">
        <f>'All Names'!B45</f>
        <v>Student 38</v>
      </c>
      <c r="C44" s="27" t="str">
        <f>'All Names'!C45</f>
        <v>3rd</v>
      </c>
      <c r="D44" s="41">
        <f>'All Names'!E45</f>
        <v>250</v>
      </c>
      <c r="E44" s="27" t="s">
        <v>237</v>
      </c>
      <c r="F44" s="27" t="s">
        <v>205</v>
      </c>
      <c r="G44" s="27"/>
      <c r="H44" s="27"/>
      <c r="I44" s="27"/>
      <c r="J44" s="27"/>
      <c r="K44" s="27"/>
      <c r="L44" s="27"/>
      <c r="M44" s="27"/>
      <c r="N44" s="27"/>
      <c r="O44" s="27"/>
      <c r="P44" s="27"/>
      <c r="Q44" s="27">
        <f t="shared" si="1"/>
        <v>1</v>
      </c>
      <c r="R44" s="41">
        <f t="shared" si="2"/>
        <v>250</v>
      </c>
      <c r="S44" s="27">
        <f t="shared" si="3"/>
        <v>0</v>
      </c>
      <c r="T44" s="41">
        <f t="shared" si="4"/>
        <v>0</v>
      </c>
      <c r="X44" s="15"/>
    </row>
    <row r="45" spans="1:24">
      <c r="A45" s="27">
        <f t="shared" si="0"/>
        <v>39</v>
      </c>
      <c r="B45" s="27" t="str">
        <f>'All Names'!B46</f>
        <v>Student 39</v>
      </c>
      <c r="C45" s="27" t="str">
        <f>'All Names'!C46</f>
        <v>Jr.kg/Sr.kg</v>
      </c>
      <c r="D45" s="41">
        <f>'All Names'!E46</f>
        <v>200</v>
      </c>
      <c r="E45" s="27" t="s">
        <v>237</v>
      </c>
      <c r="F45" s="27" t="s">
        <v>205</v>
      </c>
      <c r="G45" s="27"/>
      <c r="H45" s="27"/>
      <c r="I45" s="27"/>
      <c r="J45" s="27"/>
      <c r="K45" s="27"/>
      <c r="L45" s="27"/>
      <c r="M45" s="27"/>
      <c r="N45" s="27"/>
      <c r="O45" s="27"/>
      <c r="P45" s="27"/>
      <c r="Q45" s="27">
        <f t="shared" si="1"/>
        <v>1</v>
      </c>
      <c r="R45" s="41">
        <f t="shared" si="2"/>
        <v>200</v>
      </c>
      <c r="S45" s="27">
        <f t="shared" si="3"/>
        <v>0</v>
      </c>
      <c r="T45" s="41">
        <f t="shared" si="4"/>
        <v>0</v>
      </c>
      <c r="V45" s="15"/>
      <c r="W45" s="15"/>
      <c r="X45" s="15"/>
    </row>
    <row r="46" spans="1:24">
      <c r="A46" s="27">
        <f t="shared" si="0"/>
        <v>40</v>
      </c>
      <c r="B46" s="27" t="str">
        <f>'All Names'!B47</f>
        <v>Student 40</v>
      </c>
      <c r="C46" s="27" t="str">
        <f>'All Names'!C47</f>
        <v>5th</v>
      </c>
      <c r="D46" s="41">
        <f>'All Names'!E47</f>
        <v>500</v>
      </c>
      <c r="E46" s="27" t="s">
        <v>237</v>
      </c>
      <c r="F46" s="27" t="s">
        <v>205</v>
      </c>
      <c r="G46" s="27"/>
      <c r="H46" s="27"/>
      <c r="I46" s="27"/>
      <c r="J46" s="27"/>
      <c r="K46" s="27"/>
      <c r="L46" s="27"/>
      <c r="M46" s="27"/>
      <c r="N46" s="27"/>
      <c r="O46" s="27"/>
      <c r="P46" s="27"/>
      <c r="Q46" s="27">
        <f t="shared" si="1"/>
        <v>1</v>
      </c>
      <c r="R46" s="41">
        <f t="shared" si="2"/>
        <v>500</v>
      </c>
      <c r="S46" s="27">
        <f t="shared" si="3"/>
        <v>0</v>
      </c>
      <c r="T46" s="41">
        <f t="shared" si="4"/>
        <v>0</v>
      </c>
      <c r="V46" s="15"/>
      <c r="W46" s="15"/>
      <c r="X46" s="15"/>
    </row>
    <row r="47" spans="1:24">
      <c r="A47" s="27">
        <f t="shared" si="0"/>
        <v>41</v>
      </c>
      <c r="B47" s="27" t="str">
        <f>'All Names'!B48</f>
        <v>Student 41</v>
      </c>
      <c r="C47" s="27" t="str">
        <f>'All Names'!C48</f>
        <v>4th</v>
      </c>
      <c r="D47" s="41">
        <f>'All Names'!E48</f>
        <v>400</v>
      </c>
      <c r="E47" s="27" t="s">
        <v>237</v>
      </c>
      <c r="F47" s="27" t="s">
        <v>205</v>
      </c>
      <c r="G47" s="27"/>
      <c r="H47" s="27"/>
      <c r="I47" s="27"/>
      <c r="J47" s="27"/>
      <c r="K47" s="27"/>
      <c r="L47" s="27"/>
      <c r="M47" s="27"/>
      <c r="N47" s="27"/>
      <c r="O47" s="27"/>
      <c r="P47" s="27"/>
      <c r="Q47" s="27">
        <f t="shared" si="1"/>
        <v>1</v>
      </c>
      <c r="R47" s="41">
        <f t="shared" si="2"/>
        <v>400</v>
      </c>
      <c r="S47" s="27">
        <f t="shared" si="3"/>
        <v>0</v>
      </c>
      <c r="T47" s="41">
        <f t="shared" si="4"/>
        <v>0</v>
      </c>
    </row>
    <row r="48" spans="1:24">
      <c r="A48" s="27">
        <f t="shared" si="0"/>
        <v>42</v>
      </c>
      <c r="B48" s="27" t="str">
        <f>'All Names'!B49</f>
        <v>Student 42</v>
      </c>
      <c r="C48" s="27" t="str">
        <f>'All Names'!C49</f>
        <v>2nd</v>
      </c>
      <c r="D48" s="41">
        <f>'All Names'!E49</f>
        <v>300</v>
      </c>
      <c r="E48" s="27" t="s">
        <v>237</v>
      </c>
      <c r="F48" s="27" t="s">
        <v>236</v>
      </c>
      <c r="G48" s="27" t="s">
        <v>236</v>
      </c>
      <c r="H48" s="27" t="s">
        <v>236</v>
      </c>
      <c r="I48" s="27" t="s">
        <v>236</v>
      </c>
      <c r="J48" s="27" t="s">
        <v>236</v>
      </c>
      <c r="K48" s="27" t="s">
        <v>236</v>
      </c>
      <c r="L48" s="27" t="s">
        <v>236</v>
      </c>
      <c r="M48" s="27" t="s">
        <v>236</v>
      </c>
      <c r="N48" s="27" t="s">
        <v>236</v>
      </c>
      <c r="O48" s="27" t="s">
        <v>236</v>
      </c>
      <c r="P48" s="27"/>
      <c r="Q48" s="27">
        <f t="shared" si="1"/>
        <v>0</v>
      </c>
      <c r="R48" s="41">
        <f t="shared" si="2"/>
        <v>0</v>
      </c>
      <c r="S48" s="27">
        <f t="shared" si="3"/>
        <v>10</v>
      </c>
      <c r="T48" s="41">
        <f t="shared" si="4"/>
        <v>3000</v>
      </c>
      <c r="V48" s="15"/>
      <c r="W48" s="15"/>
      <c r="X48" s="15"/>
    </row>
    <row r="49" spans="1:20">
      <c r="A49" s="27">
        <f t="shared" si="0"/>
        <v>43</v>
      </c>
      <c r="B49" s="27" t="str">
        <f>'All Names'!B50</f>
        <v>Student 43</v>
      </c>
      <c r="C49" s="27" t="str">
        <f>'All Names'!C50</f>
        <v>0th</v>
      </c>
      <c r="D49" s="41">
        <f>'All Names'!E50</f>
        <v>200</v>
      </c>
      <c r="E49" s="27" t="s">
        <v>237</v>
      </c>
      <c r="F49" s="27" t="s">
        <v>236</v>
      </c>
      <c r="G49" s="27" t="s">
        <v>236</v>
      </c>
      <c r="H49" s="27" t="s">
        <v>236</v>
      </c>
      <c r="I49" s="27" t="s">
        <v>236</v>
      </c>
      <c r="J49" s="27" t="s">
        <v>236</v>
      </c>
      <c r="K49" s="27" t="s">
        <v>236</v>
      </c>
      <c r="L49" s="27" t="s">
        <v>236</v>
      </c>
      <c r="M49" s="27" t="s">
        <v>236</v>
      </c>
      <c r="N49" s="27" t="s">
        <v>236</v>
      </c>
      <c r="O49" s="27" t="s">
        <v>236</v>
      </c>
      <c r="P49" s="27"/>
      <c r="Q49" s="27">
        <f t="shared" si="1"/>
        <v>0</v>
      </c>
      <c r="R49" s="41">
        <f t="shared" si="2"/>
        <v>0</v>
      </c>
      <c r="S49" s="27">
        <f t="shared" si="3"/>
        <v>10</v>
      </c>
      <c r="T49" s="41">
        <f t="shared" si="4"/>
        <v>2000</v>
      </c>
    </row>
    <row r="50" spans="1:20">
      <c r="A50" s="27">
        <f t="shared" si="0"/>
        <v>44</v>
      </c>
      <c r="B50" s="27" t="str">
        <f>'All Names'!B51</f>
        <v>Student 44</v>
      </c>
      <c r="C50" s="27" t="str">
        <f>'All Names'!C51</f>
        <v>4th</v>
      </c>
      <c r="D50" s="41">
        <f>'All Names'!E51</f>
        <v>350</v>
      </c>
      <c r="E50" s="27" t="s">
        <v>237</v>
      </c>
      <c r="F50" s="27" t="s">
        <v>205</v>
      </c>
      <c r="G50" s="27"/>
      <c r="H50" s="27"/>
      <c r="I50" s="27"/>
      <c r="J50" s="27"/>
      <c r="K50" s="27"/>
      <c r="L50" s="27"/>
      <c r="M50" s="27"/>
      <c r="N50" s="27"/>
      <c r="O50" s="27"/>
      <c r="P50" s="27"/>
      <c r="Q50" s="27">
        <f t="shared" si="1"/>
        <v>1</v>
      </c>
      <c r="R50" s="41">
        <f t="shared" si="2"/>
        <v>350</v>
      </c>
      <c r="S50" s="27">
        <f t="shared" si="3"/>
        <v>0</v>
      </c>
      <c r="T50" s="41">
        <f t="shared" si="4"/>
        <v>0</v>
      </c>
    </row>
    <row r="51" spans="1:20">
      <c r="A51" s="27">
        <f t="shared" si="0"/>
        <v>45</v>
      </c>
      <c r="B51" s="27" t="str">
        <f>'All Names'!B52</f>
        <v>Student 45</v>
      </c>
      <c r="C51" s="27" t="str">
        <f>'All Names'!C52</f>
        <v>1st</v>
      </c>
      <c r="D51" s="41">
        <f>'All Names'!E52</f>
        <v>200</v>
      </c>
      <c r="E51" s="27" t="s">
        <v>237</v>
      </c>
      <c r="F51" s="27" t="s">
        <v>205</v>
      </c>
      <c r="G51" s="27"/>
      <c r="H51" s="27"/>
      <c r="I51" s="27"/>
      <c r="J51" s="27"/>
      <c r="K51" s="27"/>
      <c r="L51" s="27"/>
      <c r="M51" s="27"/>
      <c r="N51" s="27"/>
      <c r="O51" s="27"/>
      <c r="P51" s="27"/>
      <c r="Q51" s="27">
        <f t="shared" si="1"/>
        <v>1</v>
      </c>
      <c r="R51" s="41">
        <f t="shared" si="2"/>
        <v>200</v>
      </c>
      <c r="S51" s="27">
        <f t="shared" si="3"/>
        <v>0</v>
      </c>
      <c r="T51" s="41">
        <f t="shared" si="4"/>
        <v>0</v>
      </c>
    </row>
    <row r="52" spans="1:20">
      <c r="A52" s="27">
        <f t="shared" si="0"/>
        <v>46</v>
      </c>
      <c r="B52" s="27" t="str">
        <f>'All Names'!B53</f>
        <v>Student 46</v>
      </c>
      <c r="C52" s="27" t="str">
        <f>'All Names'!C53</f>
        <v>5th</v>
      </c>
      <c r="D52" s="41">
        <f>'All Names'!E53</f>
        <v>500</v>
      </c>
      <c r="E52" s="27" t="s">
        <v>237</v>
      </c>
      <c r="F52" s="27" t="s">
        <v>205</v>
      </c>
      <c r="G52" s="27"/>
      <c r="H52" s="27"/>
      <c r="I52" s="27"/>
      <c r="J52" s="27"/>
      <c r="K52" s="27"/>
      <c r="L52" s="27"/>
      <c r="M52" s="27"/>
      <c r="N52" s="27"/>
      <c r="O52" s="27"/>
      <c r="P52" s="27"/>
      <c r="Q52" s="27">
        <f t="shared" si="1"/>
        <v>1</v>
      </c>
      <c r="R52" s="41">
        <f t="shared" si="2"/>
        <v>500</v>
      </c>
      <c r="S52" s="27">
        <f t="shared" si="3"/>
        <v>0</v>
      </c>
      <c r="T52" s="41">
        <f t="shared" si="4"/>
        <v>0</v>
      </c>
    </row>
    <row r="53" spans="1:20">
      <c r="A53" s="27">
        <f t="shared" si="0"/>
        <v>47</v>
      </c>
      <c r="B53" s="27" t="str">
        <f>'All Names'!B54</f>
        <v>Student 47</v>
      </c>
      <c r="C53" s="27" t="str">
        <f>'All Names'!C54</f>
        <v>3rd</v>
      </c>
      <c r="D53" s="41">
        <f>'All Names'!E54</f>
        <v>300</v>
      </c>
      <c r="E53" s="27" t="s">
        <v>237</v>
      </c>
      <c r="F53" s="27" t="s">
        <v>205</v>
      </c>
      <c r="G53" s="27"/>
      <c r="H53" s="27"/>
      <c r="I53" s="27"/>
      <c r="J53" s="27"/>
      <c r="K53" s="27"/>
      <c r="L53" s="27"/>
      <c r="M53" s="27"/>
      <c r="N53" s="27"/>
      <c r="O53" s="27"/>
      <c r="P53" s="27"/>
      <c r="Q53" s="27">
        <f t="shared" si="1"/>
        <v>1</v>
      </c>
      <c r="R53" s="41">
        <f t="shared" si="2"/>
        <v>300</v>
      </c>
      <c r="S53" s="27">
        <f t="shared" si="3"/>
        <v>0</v>
      </c>
      <c r="T53" s="41">
        <f t="shared" si="4"/>
        <v>0</v>
      </c>
    </row>
    <row r="54" spans="1:20">
      <c r="A54" s="27">
        <f t="shared" si="0"/>
        <v>48</v>
      </c>
      <c r="B54" s="27" t="str">
        <f>'All Names'!B55</f>
        <v>Student 48</v>
      </c>
      <c r="C54" s="27" t="str">
        <f>'All Names'!C55</f>
        <v>5th</v>
      </c>
      <c r="D54" s="41">
        <f>'All Names'!E55</f>
        <v>500</v>
      </c>
      <c r="E54" s="27" t="s">
        <v>237</v>
      </c>
      <c r="F54" s="27" t="s">
        <v>205</v>
      </c>
      <c r="G54" s="27"/>
      <c r="H54" s="27"/>
      <c r="I54" s="27"/>
      <c r="J54" s="27"/>
      <c r="K54" s="27"/>
      <c r="L54" s="27"/>
      <c r="M54" s="27"/>
      <c r="N54" s="27"/>
      <c r="O54" s="27"/>
      <c r="P54" s="27"/>
      <c r="Q54" s="27">
        <f t="shared" si="1"/>
        <v>1</v>
      </c>
      <c r="R54" s="41">
        <f t="shared" si="2"/>
        <v>500</v>
      </c>
      <c r="S54" s="27">
        <f t="shared" si="3"/>
        <v>0</v>
      </c>
      <c r="T54" s="41">
        <f t="shared" si="4"/>
        <v>0</v>
      </c>
    </row>
    <row r="55" spans="1:20">
      <c r="A55" s="27">
        <f t="shared" si="0"/>
        <v>49</v>
      </c>
      <c r="B55" s="43" t="str">
        <f>'All Names'!B56</f>
        <v>Student 49</v>
      </c>
      <c r="C55" s="43" t="str">
        <f>'All Names'!C56</f>
        <v>8th</v>
      </c>
      <c r="D55" s="44">
        <f>'All Names'!E56</f>
        <v>800</v>
      </c>
      <c r="E55" s="27" t="s">
        <v>237</v>
      </c>
      <c r="F55" s="27" t="s">
        <v>205</v>
      </c>
      <c r="G55" s="27" t="s">
        <v>232</v>
      </c>
      <c r="H55" s="27" t="s">
        <v>232</v>
      </c>
      <c r="I55" s="27" t="s">
        <v>232</v>
      </c>
      <c r="J55" s="27" t="s">
        <v>232</v>
      </c>
      <c r="K55" s="27" t="s">
        <v>232</v>
      </c>
      <c r="L55" s="27" t="s">
        <v>232</v>
      </c>
      <c r="M55" s="27" t="s">
        <v>232</v>
      </c>
      <c r="N55" s="27" t="s">
        <v>232</v>
      </c>
      <c r="O55" s="27" t="s">
        <v>232</v>
      </c>
      <c r="P55" s="27"/>
      <c r="Q55" s="27">
        <f t="shared" si="1"/>
        <v>1</v>
      </c>
      <c r="R55" s="41">
        <f t="shared" si="2"/>
        <v>800</v>
      </c>
      <c r="S55" s="27">
        <f t="shared" si="3"/>
        <v>0</v>
      </c>
      <c r="T55" s="41">
        <f t="shared" si="4"/>
        <v>0</v>
      </c>
    </row>
    <row r="56" spans="1:20">
      <c r="A56" s="27">
        <f t="shared" si="0"/>
        <v>50</v>
      </c>
      <c r="B56" s="27" t="str">
        <f>'All Names'!B57</f>
        <v>Student 50</v>
      </c>
      <c r="C56" s="27" t="str">
        <f>'All Names'!C57</f>
        <v>4th</v>
      </c>
      <c r="D56" s="41">
        <f>'All Names'!E57</f>
        <v>400</v>
      </c>
      <c r="E56" s="27" t="s">
        <v>237</v>
      </c>
      <c r="F56" s="27" t="s">
        <v>205</v>
      </c>
      <c r="G56" s="27"/>
      <c r="H56" s="27"/>
      <c r="I56" s="27"/>
      <c r="J56" s="27"/>
      <c r="K56" s="27"/>
      <c r="L56" s="27"/>
      <c r="M56" s="27"/>
      <c r="N56" s="27"/>
      <c r="O56" s="27"/>
      <c r="P56" s="27"/>
      <c r="Q56" s="27">
        <f t="shared" si="1"/>
        <v>1</v>
      </c>
      <c r="R56" s="41">
        <f t="shared" si="2"/>
        <v>400</v>
      </c>
      <c r="S56" s="27">
        <f t="shared" si="3"/>
        <v>0</v>
      </c>
      <c r="T56" s="41">
        <f t="shared" si="4"/>
        <v>0</v>
      </c>
    </row>
    <row r="57" spans="1:20">
      <c r="A57" s="27">
        <f t="shared" si="0"/>
        <v>51</v>
      </c>
      <c r="B57" s="27" t="str">
        <f>'All Names'!B58</f>
        <v>Student 51</v>
      </c>
      <c r="C57" s="27" t="str">
        <f>'All Names'!C58</f>
        <v>4th</v>
      </c>
      <c r="D57" s="41">
        <f>'All Names'!E58</f>
        <v>400</v>
      </c>
      <c r="E57" s="27" t="s">
        <v>237</v>
      </c>
      <c r="F57" s="27" t="s">
        <v>205</v>
      </c>
      <c r="G57" s="27"/>
      <c r="H57" s="27"/>
      <c r="I57" s="27"/>
      <c r="J57" s="27"/>
      <c r="K57" s="27"/>
      <c r="L57" s="27"/>
      <c r="M57" s="27"/>
      <c r="N57" s="27"/>
      <c r="O57" s="27"/>
      <c r="P57" s="27"/>
      <c r="Q57" s="27">
        <f t="shared" si="1"/>
        <v>1</v>
      </c>
      <c r="R57" s="41">
        <f t="shared" si="2"/>
        <v>400</v>
      </c>
      <c r="S57" s="27">
        <f t="shared" si="3"/>
        <v>0</v>
      </c>
      <c r="T57" s="41">
        <f t="shared" si="4"/>
        <v>0</v>
      </c>
    </row>
    <row r="58" spans="1:20">
      <c r="A58" s="27">
        <f t="shared" si="0"/>
        <v>52</v>
      </c>
      <c r="B58" s="27" t="str">
        <f>'All Names'!B59</f>
        <v>Student 52</v>
      </c>
      <c r="C58" s="27" t="str">
        <f>'All Names'!C59</f>
        <v>3rd</v>
      </c>
      <c r="D58" s="41">
        <f>'All Names'!E59</f>
        <v>250</v>
      </c>
      <c r="E58" s="27" t="s">
        <v>237</v>
      </c>
      <c r="F58" s="27" t="s">
        <v>237</v>
      </c>
      <c r="G58" s="27"/>
      <c r="H58" s="27"/>
      <c r="I58" s="27"/>
      <c r="J58" s="27"/>
      <c r="K58" s="27"/>
      <c r="L58" s="27"/>
      <c r="M58" s="27"/>
      <c r="N58" s="27"/>
      <c r="O58" s="27"/>
      <c r="P58" s="27"/>
      <c r="Q58" s="27">
        <f t="shared" si="1"/>
        <v>0</v>
      </c>
      <c r="R58" s="41">
        <f t="shared" si="2"/>
        <v>0</v>
      </c>
      <c r="S58" s="27">
        <f t="shared" si="3"/>
        <v>0</v>
      </c>
      <c r="T58" s="41">
        <f t="shared" si="4"/>
        <v>0</v>
      </c>
    </row>
    <row r="59" spans="1:20">
      <c r="A59" s="27">
        <f t="shared" si="0"/>
        <v>53</v>
      </c>
      <c r="B59" s="27" t="str">
        <f>'All Names'!B60</f>
        <v>Student 53</v>
      </c>
      <c r="C59" s="27" t="str">
        <f>'All Names'!C60</f>
        <v>5th</v>
      </c>
      <c r="D59" s="41">
        <f>'All Names'!E60</f>
        <v>500</v>
      </c>
      <c r="E59" s="27" t="s">
        <v>237</v>
      </c>
      <c r="F59" s="27" t="s">
        <v>205</v>
      </c>
      <c r="G59" s="27"/>
      <c r="H59" s="27"/>
      <c r="I59" s="27"/>
      <c r="J59" s="27"/>
      <c r="K59" s="27"/>
      <c r="L59" s="27"/>
      <c r="M59" s="27"/>
      <c r="N59" s="27"/>
      <c r="O59" s="27"/>
      <c r="P59" s="27"/>
      <c r="Q59" s="27">
        <f t="shared" si="1"/>
        <v>1</v>
      </c>
      <c r="R59" s="41">
        <f t="shared" si="2"/>
        <v>500</v>
      </c>
      <c r="S59" s="27">
        <f t="shared" si="3"/>
        <v>0</v>
      </c>
      <c r="T59" s="41">
        <f t="shared" si="4"/>
        <v>0</v>
      </c>
    </row>
    <row r="60" spans="1:20">
      <c r="A60" s="27">
        <f t="shared" si="0"/>
        <v>54</v>
      </c>
      <c r="B60" s="27" t="str">
        <f>'All Names'!B61</f>
        <v>Student 54</v>
      </c>
      <c r="C60" s="27" t="str">
        <f>'All Names'!C61</f>
        <v>4th</v>
      </c>
      <c r="D60" s="41">
        <f>'All Names'!E61</f>
        <v>400</v>
      </c>
      <c r="E60" s="27" t="s">
        <v>237</v>
      </c>
      <c r="F60" s="27" t="s">
        <v>205</v>
      </c>
      <c r="G60" s="27"/>
      <c r="H60" s="27"/>
      <c r="I60" s="27"/>
      <c r="J60" s="27"/>
      <c r="K60" s="27"/>
      <c r="L60" s="27"/>
      <c r="M60" s="27"/>
      <c r="N60" s="27"/>
      <c r="O60" s="27"/>
      <c r="P60" s="27"/>
      <c r="Q60" s="27">
        <f t="shared" si="1"/>
        <v>1</v>
      </c>
      <c r="R60" s="41">
        <f t="shared" si="2"/>
        <v>400</v>
      </c>
      <c r="S60" s="27">
        <f t="shared" si="3"/>
        <v>0</v>
      </c>
      <c r="T60" s="41">
        <f t="shared" si="4"/>
        <v>0</v>
      </c>
    </row>
    <row r="61" spans="1:20">
      <c r="A61" s="27">
        <f t="shared" si="0"/>
        <v>55</v>
      </c>
      <c r="B61" s="27" t="str">
        <f>'All Names'!B62</f>
        <v>Student 55</v>
      </c>
      <c r="C61" s="27" t="str">
        <f>'All Names'!C62</f>
        <v>3rd</v>
      </c>
      <c r="D61" s="41">
        <f>'All Names'!E62</f>
        <v>300</v>
      </c>
      <c r="E61" s="27" t="s">
        <v>237</v>
      </c>
      <c r="F61" s="27" t="s">
        <v>205</v>
      </c>
      <c r="G61" s="27"/>
      <c r="H61" s="27"/>
      <c r="I61" s="27"/>
      <c r="J61" s="27"/>
      <c r="K61" s="27"/>
      <c r="L61" s="27"/>
      <c r="M61" s="27"/>
      <c r="N61" s="27"/>
      <c r="O61" s="27"/>
      <c r="P61" s="27"/>
      <c r="Q61" s="27">
        <f t="shared" si="1"/>
        <v>1</v>
      </c>
      <c r="R61" s="41">
        <f t="shared" si="2"/>
        <v>300</v>
      </c>
      <c r="S61" s="27">
        <f t="shared" si="3"/>
        <v>0</v>
      </c>
      <c r="T61" s="41">
        <f t="shared" si="4"/>
        <v>0</v>
      </c>
    </row>
    <row r="62" spans="1:20">
      <c r="A62" s="27">
        <f t="shared" si="0"/>
        <v>56</v>
      </c>
      <c r="B62" s="27" t="str">
        <f>'All Names'!B63</f>
        <v>Student 56</v>
      </c>
      <c r="C62" s="27" t="str">
        <f>'All Names'!C63</f>
        <v>Jr.kg/Sr.kg</v>
      </c>
      <c r="D62" s="41">
        <f>'All Names'!E63</f>
        <v>200</v>
      </c>
      <c r="E62" s="27" t="s">
        <v>237</v>
      </c>
      <c r="F62" s="27" t="s">
        <v>205</v>
      </c>
      <c r="G62" s="27"/>
      <c r="H62" s="27"/>
      <c r="I62" s="27"/>
      <c r="J62" s="27"/>
      <c r="K62" s="27"/>
      <c r="L62" s="27"/>
      <c r="M62" s="27"/>
      <c r="N62" s="27"/>
      <c r="O62" s="27"/>
      <c r="P62" s="27"/>
      <c r="Q62" s="27">
        <f t="shared" si="1"/>
        <v>1</v>
      </c>
      <c r="R62" s="41">
        <f t="shared" si="2"/>
        <v>200</v>
      </c>
      <c r="S62" s="27">
        <f t="shared" si="3"/>
        <v>0</v>
      </c>
      <c r="T62" s="41">
        <f t="shared" si="4"/>
        <v>0</v>
      </c>
    </row>
    <row r="63" spans="1:20">
      <c r="A63" s="27">
        <f t="shared" si="0"/>
        <v>57</v>
      </c>
      <c r="B63" s="27" t="str">
        <f>'All Names'!B64</f>
        <v>Student 57</v>
      </c>
      <c r="C63" s="27" t="str">
        <f>'All Names'!C64</f>
        <v>6th</v>
      </c>
      <c r="D63" s="41">
        <f>'All Names'!E64</f>
        <v>550</v>
      </c>
      <c r="E63" s="27" t="s">
        <v>237</v>
      </c>
      <c r="F63" s="27" t="s">
        <v>237</v>
      </c>
      <c r="G63" s="27"/>
      <c r="H63" s="27"/>
      <c r="I63" s="27"/>
      <c r="J63" s="27"/>
      <c r="K63" s="27"/>
      <c r="L63" s="27"/>
      <c r="M63" s="27"/>
      <c r="N63" s="27"/>
      <c r="O63" s="27"/>
      <c r="P63" s="27"/>
      <c r="Q63" s="27">
        <f t="shared" si="1"/>
        <v>0</v>
      </c>
      <c r="R63" s="41">
        <f t="shared" si="2"/>
        <v>0</v>
      </c>
      <c r="S63" s="27">
        <f t="shared" si="3"/>
        <v>0</v>
      </c>
      <c r="T63" s="41">
        <f t="shared" si="4"/>
        <v>0</v>
      </c>
    </row>
    <row r="64" spans="1:20">
      <c r="A64" s="27">
        <f t="shared" si="0"/>
        <v>58</v>
      </c>
      <c r="B64" s="27" t="str">
        <f>'All Names'!B65</f>
        <v>Student 58</v>
      </c>
      <c r="C64" s="27" t="str">
        <f>'All Names'!C65</f>
        <v>2nd</v>
      </c>
      <c r="D64" s="41">
        <f>'All Names'!E65</f>
        <v>250</v>
      </c>
      <c r="E64" s="27" t="s">
        <v>237</v>
      </c>
      <c r="F64" s="27" t="s">
        <v>237</v>
      </c>
      <c r="G64" s="27"/>
      <c r="H64" s="27"/>
      <c r="I64" s="27"/>
      <c r="J64" s="27"/>
      <c r="K64" s="27"/>
      <c r="L64" s="27"/>
      <c r="M64" s="27"/>
      <c r="N64" s="27"/>
      <c r="O64" s="27"/>
      <c r="P64" s="27"/>
      <c r="Q64" s="27">
        <f t="shared" si="1"/>
        <v>0</v>
      </c>
      <c r="R64" s="41">
        <f t="shared" si="2"/>
        <v>0</v>
      </c>
      <c r="S64" s="27">
        <f t="shared" si="3"/>
        <v>0</v>
      </c>
      <c r="T64" s="41">
        <f t="shared" si="4"/>
        <v>0</v>
      </c>
    </row>
    <row r="65" spans="1:20">
      <c r="A65" s="27">
        <f t="shared" si="0"/>
        <v>59</v>
      </c>
      <c r="B65" s="27" t="str">
        <f>'All Names'!B66</f>
        <v>Student 59</v>
      </c>
      <c r="C65" s="27" t="str">
        <f>'All Names'!C66</f>
        <v>4th</v>
      </c>
      <c r="D65" s="41">
        <f>'All Names'!E66</f>
        <v>350</v>
      </c>
      <c r="E65" s="27" t="s">
        <v>237</v>
      </c>
      <c r="F65" s="27" t="s">
        <v>237</v>
      </c>
      <c r="G65" s="27"/>
      <c r="H65" s="27"/>
      <c r="I65" s="27"/>
      <c r="J65" s="27"/>
      <c r="K65" s="27"/>
      <c r="L65" s="27"/>
      <c r="M65" s="27"/>
      <c r="N65" s="27"/>
      <c r="O65" s="27"/>
      <c r="P65" s="27"/>
      <c r="Q65" s="27">
        <f t="shared" si="1"/>
        <v>0</v>
      </c>
      <c r="R65" s="41">
        <f t="shared" si="2"/>
        <v>0</v>
      </c>
      <c r="S65" s="27">
        <f t="shared" si="3"/>
        <v>0</v>
      </c>
      <c r="T65" s="41">
        <f t="shared" si="4"/>
        <v>0</v>
      </c>
    </row>
    <row r="66" spans="1:20">
      <c r="A66" s="27">
        <f t="shared" si="0"/>
        <v>60</v>
      </c>
      <c r="B66" s="27" t="str">
        <f>'All Names'!B67</f>
        <v>Student 60</v>
      </c>
      <c r="C66" s="27" t="str">
        <f>'All Names'!C67</f>
        <v>0th</v>
      </c>
      <c r="D66" s="41">
        <f>'All Names'!E67</f>
        <v>200</v>
      </c>
      <c r="E66" s="27" t="s">
        <v>237</v>
      </c>
      <c r="F66" s="27" t="s">
        <v>237</v>
      </c>
      <c r="G66" s="27"/>
      <c r="H66" s="27"/>
      <c r="I66" s="27"/>
      <c r="J66" s="27"/>
      <c r="K66" s="27"/>
      <c r="L66" s="27"/>
      <c r="M66" s="27"/>
      <c r="N66" s="27"/>
      <c r="O66" s="27"/>
      <c r="P66" s="27"/>
      <c r="Q66" s="27">
        <f t="shared" si="1"/>
        <v>0</v>
      </c>
      <c r="R66" s="41">
        <f t="shared" si="2"/>
        <v>0</v>
      </c>
      <c r="S66" s="27">
        <f t="shared" si="3"/>
        <v>0</v>
      </c>
      <c r="T66" s="41">
        <f t="shared" si="4"/>
        <v>0</v>
      </c>
    </row>
    <row r="67" spans="1:20">
      <c r="A67" s="27">
        <f t="shared" si="0"/>
        <v>61</v>
      </c>
      <c r="B67" s="27" t="str">
        <f>'All Names'!B68</f>
        <v>Student 61</v>
      </c>
      <c r="C67" s="27" t="str">
        <f>'All Names'!C68</f>
        <v>2nd</v>
      </c>
      <c r="D67" s="41">
        <f>'All Names'!E68</f>
        <v>250</v>
      </c>
      <c r="E67" s="27" t="s">
        <v>237</v>
      </c>
      <c r="F67" s="27" t="s">
        <v>237</v>
      </c>
      <c r="G67" s="27"/>
      <c r="H67" s="27"/>
      <c r="I67" s="27"/>
      <c r="J67" s="27"/>
      <c r="K67" s="27"/>
      <c r="L67" s="27"/>
      <c r="M67" s="27"/>
      <c r="N67" s="27"/>
      <c r="O67" s="27"/>
      <c r="P67" s="27"/>
      <c r="Q67" s="27">
        <f t="shared" si="1"/>
        <v>0</v>
      </c>
      <c r="R67" s="41">
        <f t="shared" si="2"/>
        <v>0</v>
      </c>
      <c r="S67" s="27">
        <f t="shared" si="3"/>
        <v>0</v>
      </c>
      <c r="T67" s="41">
        <f t="shared" si="4"/>
        <v>0</v>
      </c>
    </row>
    <row r="68" spans="1:20">
      <c r="A68" s="27">
        <f t="shared" si="0"/>
        <v>62</v>
      </c>
      <c r="B68" s="27" t="str">
        <f>'All Names'!B69</f>
        <v>Student 62</v>
      </c>
      <c r="C68" s="27" t="str">
        <f>'All Names'!C69</f>
        <v>1st</v>
      </c>
      <c r="D68" s="41">
        <f>'All Names'!E69</f>
        <v>200</v>
      </c>
      <c r="E68" s="27" t="s">
        <v>237</v>
      </c>
      <c r="F68" s="27" t="s">
        <v>237</v>
      </c>
      <c r="G68" s="27"/>
      <c r="H68" s="27"/>
      <c r="I68" s="27"/>
      <c r="J68" s="27"/>
      <c r="K68" s="27"/>
      <c r="L68" s="27"/>
      <c r="M68" s="27"/>
      <c r="N68" s="27"/>
      <c r="O68" s="27"/>
      <c r="P68" s="27"/>
      <c r="Q68" s="27">
        <f t="shared" si="1"/>
        <v>0</v>
      </c>
      <c r="R68" s="41">
        <f t="shared" si="2"/>
        <v>0</v>
      </c>
      <c r="S68" s="27">
        <f t="shared" si="3"/>
        <v>0</v>
      </c>
      <c r="T68" s="41">
        <f t="shared" si="4"/>
        <v>0</v>
      </c>
    </row>
    <row r="69" spans="1:20">
      <c r="A69" s="27">
        <f t="shared" si="0"/>
        <v>63</v>
      </c>
      <c r="B69" s="27" t="str">
        <f>'All Names'!B70</f>
        <v>Student 63</v>
      </c>
      <c r="C69" s="27" t="str">
        <f>'All Names'!C70</f>
        <v>0th</v>
      </c>
      <c r="D69" s="41">
        <f>'All Names'!E70</f>
        <v>200</v>
      </c>
      <c r="E69" s="27"/>
      <c r="F69" s="27"/>
      <c r="G69" s="27"/>
      <c r="H69" s="27"/>
      <c r="I69" s="27"/>
      <c r="J69" s="27"/>
      <c r="K69" s="27"/>
      <c r="L69" s="27"/>
      <c r="M69" s="27"/>
      <c r="N69" s="27"/>
      <c r="O69" s="27"/>
      <c r="P69" s="27"/>
      <c r="Q69" s="27">
        <f t="shared" si="1"/>
        <v>0</v>
      </c>
      <c r="R69" s="41">
        <f t="shared" si="2"/>
        <v>0</v>
      </c>
      <c r="S69" s="27">
        <f t="shared" si="3"/>
        <v>0</v>
      </c>
      <c r="T69" s="41">
        <f t="shared" si="4"/>
        <v>0</v>
      </c>
    </row>
    <row r="70" spans="1:20">
      <c r="A70" s="27">
        <f t="shared" si="0"/>
        <v>64</v>
      </c>
      <c r="B70" s="27">
        <f>'All Names'!B71</f>
        <v>0</v>
      </c>
      <c r="C70" s="27">
        <f>'All Names'!C71</f>
        <v>0</v>
      </c>
      <c r="D70" s="41">
        <f>'All Names'!E71</f>
        <v>0</v>
      </c>
      <c r="E70" s="27"/>
      <c r="F70" s="27"/>
      <c r="G70" s="27"/>
      <c r="H70" s="27"/>
      <c r="I70" s="27"/>
      <c r="J70" s="27"/>
      <c r="K70" s="27"/>
      <c r="L70" s="27"/>
      <c r="M70" s="27"/>
      <c r="N70" s="27"/>
      <c r="O70" s="27"/>
      <c r="P70" s="27"/>
      <c r="Q70" s="27">
        <f t="shared" si="1"/>
        <v>0</v>
      </c>
      <c r="R70" s="41">
        <f t="shared" si="2"/>
        <v>0</v>
      </c>
      <c r="S70" s="27">
        <f t="shared" si="3"/>
        <v>0</v>
      </c>
      <c r="T70" s="41">
        <f t="shared" si="4"/>
        <v>0</v>
      </c>
    </row>
    <row r="71" spans="1:20">
      <c r="A71" s="27">
        <f t="shared" ref="A71:A116" si="5">ROW()-6</f>
        <v>65</v>
      </c>
      <c r="B71" s="27">
        <f>'All Names'!B72</f>
        <v>0</v>
      </c>
      <c r="C71" s="27">
        <f>'All Names'!C72</f>
        <v>0</v>
      </c>
      <c r="D71" s="41">
        <f>'All Names'!E72</f>
        <v>0</v>
      </c>
      <c r="E71" s="27"/>
      <c r="F71" s="27"/>
      <c r="G71" s="27"/>
      <c r="H71" s="27"/>
      <c r="I71" s="27"/>
      <c r="J71" s="27"/>
      <c r="K71" s="27"/>
      <c r="L71" s="27"/>
      <c r="M71" s="27"/>
      <c r="N71" s="27"/>
      <c r="O71" s="27"/>
      <c r="P71" s="27"/>
      <c r="Q71" s="27">
        <f t="shared" ref="Q71:Q100" si="6">COUNTIF(E71:P71,"PAID")</f>
        <v>0</v>
      </c>
      <c r="R71" s="41">
        <f t="shared" ref="R71:R100" si="7">D71*Q71</f>
        <v>0</v>
      </c>
      <c r="S71" s="27">
        <f t="shared" ref="S71:S100" si="8">COUNTIF(E71:P71,"UNPAID")</f>
        <v>0</v>
      </c>
      <c r="T71" s="41">
        <f t="shared" ref="T71:T100" si="9">D71*S71</f>
        <v>0</v>
      </c>
    </row>
    <row r="72" spans="1:20">
      <c r="A72" s="27">
        <f t="shared" si="5"/>
        <v>66</v>
      </c>
      <c r="B72" s="27">
        <f>'All Names'!B73</f>
        <v>0</v>
      </c>
      <c r="C72" s="27">
        <f>'All Names'!C73</f>
        <v>0</v>
      </c>
      <c r="D72" s="41">
        <f>'All Names'!E73</f>
        <v>0</v>
      </c>
      <c r="E72" s="27"/>
      <c r="F72" s="27"/>
      <c r="G72" s="27"/>
      <c r="H72" s="27"/>
      <c r="I72" s="27"/>
      <c r="J72" s="27"/>
      <c r="K72" s="27"/>
      <c r="L72" s="27"/>
      <c r="M72" s="27"/>
      <c r="N72" s="27"/>
      <c r="O72" s="27"/>
      <c r="P72" s="27"/>
      <c r="Q72" s="27">
        <f t="shared" si="6"/>
        <v>0</v>
      </c>
      <c r="R72" s="41">
        <f t="shared" si="7"/>
        <v>0</v>
      </c>
      <c r="S72" s="27">
        <f t="shared" si="8"/>
        <v>0</v>
      </c>
      <c r="T72" s="41">
        <f t="shared" si="9"/>
        <v>0</v>
      </c>
    </row>
    <row r="73" spans="1:20">
      <c r="A73" s="27">
        <f t="shared" si="5"/>
        <v>67</v>
      </c>
      <c r="B73" s="27">
        <f>'All Names'!B74</f>
        <v>0</v>
      </c>
      <c r="C73" s="27">
        <f>'All Names'!C74</f>
        <v>0</v>
      </c>
      <c r="D73" s="41">
        <f>'All Names'!E74</f>
        <v>0</v>
      </c>
      <c r="E73" s="27"/>
      <c r="F73" s="27"/>
      <c r="G73" s="27"/>
      <c r="H73" s="27"/>
      <c r="I73" s="27"/>
      <c r="J73" s="27"/>
      <c r="K73" s="27"/>
      <c r="L73" s="27"/>
      <c r="M73" s="27"/>
      <c r="N73" s="27"/>
      <c r="O73" s="27"/>
      <c r="P73" s="27"/>
      <c r="Q73" s="27">
        <f t="shared" si="6"/>
        <v>0</v>
      </c>
      <c r="R73" s="41">
        <f t="shared" si="7"/>
        <v>0</v>
      </c>
      <c r="S73" s="27">
        <f t="shared" si="8"/>
        <v>0</v>
      </c>
      <c r="T73" s="41">
        <f t="shared" si="9"/>
        <v>0</v>
      </c>
    </row>
    <row r="74" spans="1:20">
      <c r="A74" s="27">
        <f t="shared" si="5"/>
        <v>68</v>
      </c>
      <c r="B74" s="27">
        <f>'All Names'!B75</f>
        <v>0</v>
      </c>
      <c r="C74" s="27">
        <f>'All Names'!C75</f>
        <v>0</v>
      </c>
      <c r="D74" s="41">
        <f>'All Names'!E75</f>
        <v>0</v>
      </c>
      <c r="E74" s="27"/>
      <c r="F74" s="27"/>
      <c r="G74" s="27"/>
      <c r="H74" s="27"/>
      <c r="I74" s="27"/>
      <c r="J74" s="27"/>
      <c r="K74" s="27"/>
      <c r="L74" s="27"/>
      <c r="M74" s="27"/>
      <c r="N74" s="27"/>
      <c r="O74" s="27"/>
      <c r="P74" s="27"/>
      <c r="Q74" s="27">
        <f t="shared" si="6"/>
        <v>0</v>
      </c>
      <c r="R74" s="41">
        <f t="shared" si="7"/>
        <v>0</v>
      </c>
      <c r="S74" s="27">
        <f t="shared" si="8"/>
        <v>0</v>
      </c>
      <c r="T74" s="41">
        <f t="shared" si="9"/>
        <v>0</v>
      </c>
    </row>
    <row r="75" spans="1:20">
      <c r="A75" s="27">
        <f t="shared" si="5"/>
        <v>69</v>
      </c>
      <c r="B75" s="27">
        <f>'All Names'!B76</f>
        <v>0</v>
      </c>
      <c r="C75" s="27">
        <f>'All Names'!C76</f>
        <v>0</v>
      </c>
      <c r="D75" s="41">
        <f>'All Names'!E76</f>
        <v>0</v>
      </c>
      <c r="E75" s="27"/>
      <c r="F75" s="27"/>
      <c r="G75" s="27"/>
      <c r="H75" s="27"/>
      <c r="I75" s="27"/>
      <c r="J75" s="27"/>
      <c r="K75" s="27"/>
      <c r="L75" s="27"/>
      <c r="M75" s="27"/>
      <c r="N75" s="27"/>
      <c r="O75" s="27"/>
      <c r="P75" s="27"/>
      <c r="Q75" s="27">
        <f t="shared" si="6"/>
        <v>0</v>
      </c>
      <c r="R75" s="41">
        <f t="shared" si="7"/>
        <v>0</v>
      </c>
      <c r="S75" s="27">
        <f t="shared" si="8"/>
        <v>0</v>
      </c>
      <c r="T75" s="41">
        <f t="shared" si="9"/>
        <v>0</v>
      </c>
    </row>
    <row r="76" spans="1:20">
      <c r="A76" s="27">
        <f t="shared" si="5"/>
        <v>70</v>
      </c>
      <c r="B76" s="27">
        <f>'All Names'!B77</f>
        <v>0</v>
      </c>
      <c r="C76" s="27">
        <f>'All Names'!C77</f>
        <v>0</v>
      </c>
      <c r="D76" s="41">
        <f>'All Names'!E77</f>
        <v>0</v>
      </c>
      <c r="E76" s="27"/>
      <c r="F76" s="27"/>
      <c r="G76" s="27"/>
      <c r="H76" s="27"/>
      <c r="I76" s="27"/>
      <c r="J76" s="27"/>
      <c r="K76" s="27"/>
      <c r="L76" s="27"/>
      <c r="M76" s="27"/>
      <c r="N76" s="27"/>
      <c r="O76" s="27"/>
      <c r="P76" s="27"/>
      <c r="Q76" s="27">
        <f t="shared" si="6"/>
        <v>0</v>
      </c>
      <c r="R76" s="41">
        <f t="shared" si="7"/>
        <v>0</v>
      </c>
      <c r="S76" s="27">
        <f t="shared" si="8"/>
        <v>0</v>
      </c>
      <c r="T76" s="41">
        <f t="shared" si="9"/>
        <v>0</v>
      </c>
    </row>
    <row r="77" spans="1:20">
      <c r="A77" s="27">
        <f t="shared" si="5"/>
        <v>71</v>
      </c>
      <c r="B77" s="27">
        <f>'All Names'!B78</f>
        <v>0</v>
      </c>
      <c r="C77" s="27">
        <f>'All Names'!C78</f>
        <v>0</v>
      </c>
      <c r="D77" s="41">
        <f>'All Names'!E78</f>
        <v>0</v>
      </c>
      <c r="E77" s="27"/>
      <c r="F77" s="27"/>
      <c r="G77" s="27"/>
      <c r="H77" s="27"/>
      <c r="I77" s="27"/>
      <c r="J77" s="27"/>
      <c r="K77" s="27"/>
      <c r="L77" s="27"/>
      <c r="M77" s="27"/>
      <c r="N77" s="27"/>
      <c r="O77" s="27"/>
      <c r="P77" s="27"/>
      <c r="Q77" s="27">
        <f t="shared" si="6"/>
        <v>0</v>
      </c>
      <c r="R77" s="41">
        <f t="shared" si="7"/>
        <v>0</v>
      </c>
      <c r="S77" s="27">
        <f t="shared" si="8"/>
        <v>0</v>
      </c>
      <c r="T77" s="41">
        <f t="shared" si="9"/>
        <v>0</v>
      </c>
    </row>
    <row r="78" spans="1:20">
      <c r="A78" s="27">
        <f t="shared" si="5"/>
        <v>72</v>
      </c>
      <c r="B78" s="27">
        <f>'All Names'!B79</f>
        <v>0</v>
      </c>
      <c r="C78" s="27">
        <f>'All Names'!C79</f>
        <v>0</v>
      </c>
      <c r="D78" s="41">
        <f>'All Names'!E79</f>
        <v>0</v>
      </c>
      <c r="E78" s="27"/>
      <c r="F78" s="27"/>
      <c r="G78" s="27"/>
      <c r="H78" s="27"/>
      <c r="I78" s="27"/>
      <c r="J78" s="27"/>
      <c r="K78" s="27"/>
      <c r="L78" s="27"/>
      <c r="M78" s="27"/>
      <c r="N78" s="27"/>
      <c r="O78" s="27"/>
      <c r="P78" s="27"/>
      <c r="Q78" s="27">
        <f t="shared" si="6"/>
        <v>0</v>
      </c>
      <c r="R78" s="41">
        <f t="shared" si="7"/>
        <v>0</v>
      </c>
      <c r="S78" s="27">
        <f t="shared" si="8"/>
        <v>0</v>
      </c>
      <c r="T78" s="41">
        <f t="shared" si="9"/>
        <v>0</v>
      </c>
    </row>
    <row r="79" spans="1:20">
      <c r="A79" s="27">
        <f t="shared" si="5"/>
        <v>73</v>
      </c>
      <c r="B79" s="27">
        <f>'All Names'!B80</f>
        <v>0</v>
      </c>
      <c r="C79" s="27">
        <f>'All Names'!C80</f>
        <v>0</v>
      </c>
      <c r="D79" s="41">
        <f>'All Names'!E80</f>
        <v>0</v>
      </c>
      <c r="E79" s="27"/>
      <c r="F79" s="27"/>
      <c r="G79" s="27"/>
      <c r="H79" s="27"/>
      <c r="I79" s="27"/>
      <c r="J79" s="27"/>
      <c r="K79" s="27"/>
      <c r="L79" s="27"/>
      <c r="M79" s="27"/>
      <c r="N79" s="27"/>
      <c r="O79" s="27"/>
      <c r="P79" s="27"/>
      <c r="Q79" s="27">
        <f t="shared" si="6"/>
        <v>0</v>
      </c>
      <c r="R79" s="41">
        <f t="shared" si="7"/>
        <v>0</v>
      </c>
      <c r="S79" s="27">
        <f t="shared" si="8"/>
        <v>0</v>
      </c>
      <c r="T79" s="41">
        <f t="shared" si="9"/>
        <v>0</v>
      </c>
    </row>
    <row r="80" spans="1:20">
      <c r="A80" s="27">
        <f t="shared" si="5"/>
        <v>74</v>
      </c>
      <c r="B80" s="27">
        <f>'All Names'!B81</f>
        <v>0</v>
      </c>
      <c r="C80" s="27">
        <f>'All Names'!C81</f>
        <v>0</v>
      </c>
      <c r="D80" s="41">
        <f>'All Names'!E81</f>
        <v>0</v>
      </c>
      <c r="E80" s="27"/>
      <c r="F80" s="27"/>
      <c r="G80" s="27"/>
      <c r="H80" s="27"/>
      <c r="I80" s="27"/>
      <c r="J80" s="27"/>
      <c r="K80" s="27"/>
      <c r="L80" s="27"/>
      <c r="M80" s="27"/>
      <c r="N80" s="27"/>
      <c r="O80" s="27"/>
      <c r="P80" s="27"/>
      <c r="Q80" s="27">
        <f t="shared" si="6"/>
        <v>0</v>
      </c>
      <c r="R80" s="41">
        <f t="shared" si="7"/>
        <v>0</v>
      </c>
      <c r="S80" s="27">
        <f t="shared" si="8"/>
        <v>0</v>
      </c>
      <c r="T80" s="41">
        <f t="shared" si="9"/>
        <v>0</v>
      </c>
    </row>
    <row r="81" spans="1:20">
      <c r="A81" s="27">
        <f t="shared" si="5"/>
        <v>75</v>
      </c>
      <c r="B81" s="27">
        <f>'All Names'!B82</f>
        <v>0</v>
      </c>
      <c r="C81" s="27">
        <f>'All Names'!C82</f>
        <v>0</v>
      </c>
      <c r="D81" s="41">
        <f>'All Names'!E82</f>
        <v>0</v>
      </c>
      <c r="E81" s="27"/>
      <c r="F81" s="27"/>
      <c r="G81" s="27"/>
      <c r="H81" s="27"/>
      <c r="I81" s="27"/>
      <c r="J81" s="27"/>
      <c r="K81" s="27"/>
      <c r="L81" s="27"/>
      <c r="M81" s="27"/>
      <c r="N81" s="27"/>
      <c r="O81" s="27"/>
      <c r="P81" s="27"/>
      <c r="Q81" s="27">
        <f t="shared" si="6"/>
        <v>0</v>
      </c>
      <c r="R81" s="41">
        <f t="shared" si="7"/>
        <v>0</v>
      </c>
      <c r="S81" s="27">
        <f t="shared" si="8"/>
        <v>0</v>
      </c>
      <c r="T81" s="41">
        <f t="shared" si="9"/>
        <v>0</v>
      </c>
    </row>
    <row r="82" spans="1:20">
      <c r="A82" s="27">
        <f t="shared" si="5"/>
        <v>76</v>
      </c>
      <c r="B82" s="27">
        <f>'All Names'!B83</f>
        <v>0</v>
      </c>
      <c r="C82" s="27">
        <f>'All Names'!C83</f>
        <v>0</v>
      </c>
      <c r="D82" s="41">
        <f>'All Names'!E83</f>
        <v>0</v>
      </c>
      <c r="E82" s="27"/>
      <c r="F82" s="27"/>
      <c r="G82" s="27"/>
      <c r="H82" s="27"/>
      <c r="I82" s="27"/>
      <c r="J82" s="27"/>
      <c r="K82" s="27"/>
      <c r="L82" s="27"/>
      <c r="M82" s="27"/>
      <c r="N82" s="27"/>
      <c r="O82" s="27"/>
      <c r="P82" s="27"/>
      <c r="Q82" s="27">
        <f t="shared" si="6"/>
        <v>0</v>
      </c>
      <c r="R82" s="41">
        <f t="shared" si="7"/>
        <v>0</v>
      </c>
      <c r="S82" s="27">
        <f t="shared" si="8"/>
        <v>0</v>
      </c>
      <c r="T82" s="41">
        <f t="shared" si="9"/>
        <v>0</v>
      </c>
    </row>
    <row r="83" spans="1:20">
      <c r="A83" s="27">
        <f t="shared" si="5"/>
        <v>77</v>
      </c>
      <c r="B83" s="27">
        <f>'All Names'!B84</f>
        <v>0</v>
      </c>
      <c r="C83" s="27">
        <f>'All Names'!C84</f>
        <v>0</v>
      </c>
      <c r="D83" s="41">
        <f>'All Names'!E84</f>
        <v>0</v>
      </c>
      <c r="E83" s="27"/>
      <c r="F83" s="27"/>
      <c r="G83" s="27"/>
      <c r="H83" s="27"/>
      <c r="I83" s="27"/>
      <c r="J83" s="27"/>
      <c r="K83" s="27"/>
      <c r="L83" s="27"/>
      <c r="M83" s="27"/>
      <c r="N83" s="27"/>
      <c r="O83" s="27"/>
      <c r="P83" s="27"/>
      <c r="Q83" s="27">
        <f t="shared" si="6"/>
        <v>0</v>
      </c>
      <c r="R83" s="41">
        <f t="shared" si="7"/>
        <v>0</v>
      </c>
      <c r="S83" s="27">
        <f t="shared" si="8"/>
        <v>0</v>
      </c>
      <c r="T83" s="41">
        <f t="shared" si="9"/>
        <v>0</v>
      </c>
    </row>
    <row r="84" spans="1:20">
      <c r="A84" s="27">
        <f t="shared" si="5"/>
        <v>78</v>
      </c>
      <c r="B84" s="27">
        <f>'All Names'!B85</f>
        <v>0</v>
      </c>
      <c r="C84" s="27">
        <f>'All Names'!C85</f>
        <v>0</v>
      </c>
      <c r="D84" s="41">
        <f>'All Names'!E85</f>
        <v>0</v>
      </c>
      <c r="E84" s="27"/>
      <c r="F84" s="27"/>
      <c r="G84" s="27"/>
      <c r="H84" s="27"/>
      <c r="I84" s="27"/>
      <c r="J84" s="27"/>
      <c r="K84" s="27"/>
      <c r="L84" s="27"/>
      <c r="M84" s="27"/>
      <c r="N84" s="27"/>
      <c r="O84" s="27"/>
      <c r="P84" s="27"/>
      <c r="Q84" s="27">
        <f t="shared" si="6"/>
        <v>0</v>
      </c>
      <c r="R84" s="41">
        <f>D84*Q84</f>
        <v>0</v>
      </c>
      <c r="S84" s="27">
        <f t="shared" si="8"/>
        <v>0</v>
      </c>
      <c r="T84" s="41">
        <f>D84*S84</f>
        <v>0</v>
      </c>
    </row>
    <row r="85" spans="1:20">
      <c r="A85" s="27">
        <f t="shared" si="5"/>
        <v>79</v>
      </c>
      <c r="B85" s="27">
        <f>'All Names'!B86</f>
        <v>0</v>
      </c>
      <c r="C85" s="27">
        <f>'All Names'!C86</f>
        <v>0</v>
      </c>
      <c r="D85" s="41">
        <f>'All Names'!E86</f>
        <v>0</v>
      </c>
      <c r="E85" s="27"/>
      <c r="F85" s="27"/>
      <c r="G85" s="27"/>
      <c r="H85" s="27"/>
      <c r="I85" s="27"/>
      <c r="J85" s="27"/>
      <c r="K85" s="27"/>
      <c r="L85" s="27"/>
      <c r="M85" s="27"/>
      <c r="N85" s="27"/>
      <c r="O85" s="27"/>
      <c r="P85" s="27"/>
      <c r="Q85" s="27">
        <f t="shared" si="6"/>
        <v>0</v>
      </c>
      <c r="R85" s="41">
        <f t="shared" si="7"/>
        <v>0</v>
      </c>
      <c r="S85" s="27">
        <f t="shared" si="8"/>
        <v>0</v>
      </c>
      <c r="T85" s="41">
        <f t="shared" si="9"/>
        <v>0</v>
      </c>
    </row>
    <row r="86" spans="1:20">
      <c r="A86" s="27">
        <f t="shared" si="5"/>
        <v>80</v>
      </c>
      <c r="B86" s="27">
        <f>'All Names'!B87</f>
        <v>0</v>
      </c>
      <c r="C86" s="27">
        <f>'All Names'!C87</f>
        <v>0</v>
      </c>
      <c r="D86" s="41">
        <f>'All Names'!E87</f>
        <v>0</v>
      </c>
      <c r="E86" s="27"/>
      <c r="F86" s="27"/>
      <c r="G86" s="27"/>
      <c r="H86" s="27"/>
      <c r="I86" s="27"/>
      <c r="J86" s="27"/>
      <c r="K86" s="27"/>
      <c r="L86" s="27"/>
      <c r="M86" s="27"/>
      <c r="N86" s="27"/>
      <c r="O86" s="27"/>
      <c r="P86" s="27"/>
      <c r="Q86" s="27">
        <f t="shared" si="6"/>
        <v>0</v>
      </c>
      <c r="R86" s="41">
        <f t="shared" si="7"/>
        <v>0</v>
      </c>
      <c r="S86" s="27">
        <f t="shared" si="8"/>
        <v>0</v>
      </c>
      <c r="T86" s="41">
        <f t="shared" si="9"/>
        <v>0</v>
      </c>
    </row>
    <row r="87" spans="1:20">
      <c r="A87" s="27">
        <f t="shared" si="5"/>
        <v>81</v>
      </c>
      <c r="B87" s="27">
        <f>'All Names'!B88</f>
        <v>0</v>
      </c>
      <c r="C87" s="27">
        <f>'All Names'!C88</f>
        <v>0</v>
      </c>
      <c r="D87" s="41">
        <f>'All Names'!E88</f>
        <v>0</v>
      </c>
      <c r="E87" s="27"/>
      <c r="F87" s="27"/>
      <c r="G87" s="27"/>
      <c r="H87" s="27"/>
      <c r="I87" s="27"/>
      <c r="J87" s="27"/>
      <c r="K87" s="27"/>
      <c r="L87" s="27"/>
      <c r="M87" s="27"/>
      <c r="N87" s="27"/>
      <c r="O87" s="27"/>
      <c r="P87" s="27"/>
      <c r="Q87" s="27">
        <f t="shared" si="6"/>
        <v>0</v>
      </c>
      <c r="R87" s="41">
        <f>D84*Q87</f>
        <v>0</v>
      </c>
      <c r="S87" s="27">
        <f t="shared" si="8"/>
        <v>0</v>
      </c>
      <c r="T87" s="41">
        <f>D87*S87</f>
        <v>0</v>
      </c>
    </row>
    <row r="88" spans="1:20">
      <c r="A88" s="27">
        <f t="shared" si="5"/>
        <v>82</v>
      </c>
      <c r="B88" s="27">
        <f>'All Names'!B89</f>
        <v>0</v>
      </c>
      <c r="C88" s="27">
        <f>'All Names'!C89</f>
        <v>0</v>
      </c>
      <c r="D88" s="41">
        <f>'All Names'!E89</f>
        <v>0</v>
      </c>
      <c r="E88" s="27"/>
      <c r="F88" s="27"/>
      <c r="G88" s="27"/>
      <c r="H88" s="27"/>
      <c r="I88" s="27"/>
      <c r="J88" s="27"/>
      <c r="K88" s="27"/>
      <c r="L88" s="27"/>
      <c r="M88" s="27"/>
      <c r="N88" s="27"/>
      <c r="O88" s="27"/>
      <c r="P88" s="27"/>
      <c r="Q88" s="27">
        <f t="shared" si="6"/>
        <v>0</v>
      </c>
      <c r="R88" s="41">
        <f t="shared" si="7"/>
        <v>0</v>
      </c>
      <c r="S88" s="27">
        <f t="shared" si="8"/>
        <v>0</v>
      </c>
      <c r="T88" s="41">
        <f t="shared" si="9"/>
        <v>0</v>
      </c>
    </row>
    <row r="89" spans="1:20">
      <c r="A89" s="27">
        <f t="shared" si="5"/>
        <v>83</v>
      </c>
      <c r="B89" s="27">
        <f>'All Names'!B90</f>
        <v>0</v>
      </c>
      <c r="C89" s="27">
        <f>'All Names'!C90</f>
        <v>0</v>
      </c>
      <c r="D89" s="41">
        <f>'All Names'!E90</f>
        <v>0</v>
      </c>
      <c r="E89" s="27"/>
      <c r="F89" s="27"/>
      <c r="G89" s="27"/>
      <c r="H89" s="27"/>
      <c r="I89" s="27"/>
      <c r="J89" s="27"/>
      <c r="K89" s="27"/>
      <c r="L89" s="27"/>
      <c r="M89" s="27"/>
      <c r="N89" s="27"/>
      <c r="O89" s="27"/>
      <c r="P89" s="27"/>
      <c r="Q89" s="27">
        <f t="shared" si="6"/>
        <v>0</v>
      </c>
      <c r="R89" s="41">
        <f t="shared" si="7"/>
        <v>0</v>
      </c>
      <c r="S89" s="27">
        <f t="shared" si="8"/>
        <v>0</v>
      </c>
      <c r="T89" s="41">
        <f t="shared" si="9"/>
        <v>0</v>
      </c>
    </row>
    <row r="90" spans="1:20">
      <c r="A90" s="27">
        <f t="shared" si="5"/>
        <v>84</v>
      </c>
      <c r="B90" s="27">
        <f>'All Names'!B91</f>
        <v>0</v>
      </c>
      <c r="C90" s="27">
        <f>'All Names'!C91</f>
        <v>0</v>
      </c>
      <c r="D90" s="41">
        <f>'All Names'!E91</f>
        <v>0</v>
      </c>
      <c r="E90" s="27"/>
      <c r="F90" s="27"/>
      <c r="G90" s="27"/>
      <c r="H90" s="27"/>
      <c r="I90" s="27"/>
      <c r="J90" s="27"/>
      <c r="K90" s="27"/>
      <c r="L90" s="27"/>
      <c r="M90" s="27"/>
      <c r="N90" s="27"/>
      <c r="O90" s="27"/>
      <c r="P90" s="27"/>
      <c r="Q90" s="27">
        <f t="shared" si="6"/>
        <v>0</v>
      </c>
      <c r="R90" s="41">
        <f t="shared" si="7"/>
        <v>0</v>
      </c>
      <c r="S90" s="27">
        <f t="shared" si="8"/>
        <v>0</v>
      </c>
      <c r="T90" s="41">
        <f t="shared" si="9"/>
        <v>0</v>
      </c>
    </row>
    <row r="91" spans="1:20">
      <c r="A91" s="27">
        <f t="shared" si="5"/>
        <v>85</v>
      </c>
      <c r="B91" s="27">
        <f>'All Names'!B92</f>
        <v>0</v>
      </c>
      <c r="C91" s="27">
        <f>'All Names'!C92</f>
        <v>0</v>
      </c>
      <c r="D91" s="41">
        <f>'All Names'!E92</f>
        <v>0</v>
      </c>
      <c r="E91" s="27"/>
      <c r="F91" s="27"/>
      <c r="G91" s="27"/>
      <c r="H91" s="27"/>
      <c r="I91" s="27"/>
      <c r="J91" s="27"/>
      <c r="K91" s="27"/>
      <c r="L91" s="27"/>
      <c r="M91" s="27"/>
      <c r="N91" s="27"/>
      <c r="O91" s="27"/>
      <c r="P91" s="27"/>
      <c r="Q91" s="27">
        <f t="shared" si="6"/>
        <v>0</v>
      </c>
      <c r="R91" s="41">
        <f t="shared" si="7"/>
        <v>0</v>
      </c>
      <c r="S91" s="27">
        <f t="shared" si="8"/>
        <v>0</v>
      </c>
      <c r="T91" s="41">
        <f t="shared" si="9"/>
        <v>0</v>
      </c>
    </row>
    <row r="92" spans="1:20">
      <c r="A92" s="27">
        <f t="shared" si="5"/>
        <v>86</v>
      </c>
      <c r="B92" s="27">
        <f>'All Names'!B93</f>
        <v>0</v>
      </c>
      <c r="C92" s="27">
        <f>'All Names'!C93</f>
        <v>0</v>
      </c>
      <c r="D92" s="41">
        <f>'All Names'!E93</f>
        <v>0</v>
      </c>
      <c r="E92" s="27"/>
      <c r="F92" s="27"/>
      <c r="G92" s="27"/>
      <c r="H92" s="27"/>
      <c r="I92" s="27"/>
      <c r="J92" s="27"/>
      <c r="K92" s="27"/>
      <c r="L92" s="27"/>
      <c r="M92" s="27"/>
      <c r="N92" s="27"/>
      <c r="O92" s="27"/>
      <c r="P92" s="27"/>
      <c r="Q92" s="27">
        <f t="shared" si="6"/>
        <v>0</v>
      </c>
      <c r="R92" s="41">
        <f t="shared" si="7"/>
        <v>0</v>
      </c>
      <c r="S92" s="27">
        <f t="shared" si="8"/>
        <v>0</v>
      </c>
      <c r="T92" s="41">
        <f t="shared" si="9"/>
        <v>0</v>
      </c>
    </row>
    <row r="93" spans="1:20">
      <c r="A93" s="27">
        <f t="shared" si="5"/>
        <v>87</v>
      </c>
      <c r="B93" s="27">
        <f>'All Names'!B94</f>
        <v>0</v>
      </c>
      <c r="C93" s="27">
        <f>'All Names'!C94</f>
        <v>0</v>
      </c>
      <c r="D93" s="41">
        <f>'All Names'!E94</f>
        <v>0</v>
      </c>
      <c r="E93" s="27"/>
      <c r="F93" s="27"/>
      <c r="G93" s="27"/>
      <c r="H93" s="27"/>
      <c r="I93" s="27"/>
      <c r="J93" s="27"/>
      <c r="K93" s="27"/>
      <c r="L93" s="27"/>
      <c r="M93" s="27"/>
      <c r="N93" s="27"/>
      <c r="O93" s="27"/>
      <c r="P93" s="27"/>
      <c r="Q93" s="27">
        <f t="shared" si="6"/>
        <v>0</v>
      </c>
      <c r="R93" s="41">
        <f t="shared" si="7"/>
        <v>0</v>
      </c>
      <c r="S93" s="27">
        <f t="shared" si="8"/>
        <v>0</v>
      </c>
      <c r="T93" s="41">
        <f t="shared" si="9"/>
        <v>0</v>
      </c>
    </row>
    <row r="94" spans="1:20">
      <c r="A94" s="27">
        <f t="shared" si="5"/>
        <v>88</v>
      </c>
      <c r="B94" s="27">
        <f>'All Names'!B95</f>
        <v>0</v>
      </c>
      <c r="C94" s="27">
        <f>'All Names'!C95</f>
        <v>0</v>
      </c>
      <c r="D94" s="41">
        <f>'All Names'!E95</f>
        <v>0</v>
      </c>
      <c r="E94" s="27"/>
      <c r="F94" s="27"/>
      <c r="G94" s="27"/>
      <c r="H94" s="27"/>
      <c r="I94" s="27"/>
      <c r="J94" s="27"/>
      <c r="K94" s="27"/>
      <c r="L94" s="27"/>
      <c r="M94" s="27"/>
      <c r="N94" s="27"/>
      <c r="O94" s="27"/>
      <c r="P94" s="27"/>
      <c r="Q94" s="27">
        <f t="shared" si="6"/>
        <v>0</v>
      </c>
      <c r="R94" s="41">
        <f t="shared" si="7"/>
        <v>0</v>
      </c>
      <c r="S94" s="27">
        <f t="shared" si="8"/>
        <v>0</v>
      </c>
      <c r="T94" s="41">
        <f t="shared" si="9"/>
        <v>0</v>
      </c>
    </row>
    <row r="95" spans="1:20">
      <c r="A95" s="27">
        <f t="shared" si="5"/>
        <v>89</v>
      </c>
      <c r="B95" s="27">
        <f>'All Names'!B96</f>
        <v>0</v>
      </c>
      <c r="C95" s="27">
        <f>'All Names'!C96</f>
        <v>0</v>
      </c>
      <c r="D95" s="41">
        <f>'All Names'!E96</f>
        <v>0</v>
      </c>
      <c r="E95" s="27"/>
      <c r="F95" s="27"/>
      <c r="G95" s="27"/>
      <c r="H95" s="27"/>
      <c r="I95" s="27"/>
      <c r="J95" s="27"/>
      <c r="K95" s="27"/>
      <c r="L95" s="27"/>
      <c r="M95" s="27"/>
      <c r="N95" s="27"/>
      <c r="O95" s="27"/>
      <c r="P95" s="27"/>
      <c r="Q95" s="27">
        <f t="shared" si="6"/>
        <v>0</v>
      </c>
      <c r="R95" s="41">
        <f t="shared" si="7"/>
        <v>0</v>
      </c>
      <c r="S95" s="27">
        <f t="shared" si="8"/>
        <v>0</v>
      </c>
      <c r="T95" s="41">
        <f t="shared" si="9"/>
        <v>0</v>
      </c>
    </row>
    <row r="96" spans="1:20">
      <c r="A96" s="27">
        <f t="shared" si="5"/>
        <v>90</v>
      </c>
      <c r="B96" s="27">
        <f>'All Names'!B97</f>
        <v>0</v>
      </c>
      <c r="C96" s="27">
        <f>'All Names'!C97</f>
        <v>0</v>
      </c>
      <c r="D96" s="41">
        <f>'All Names'!E97</f>
        <v>0</v>
      </c>
      <c r="E96" s="27"/>
      <c r="F96" s="27"/>
      <c r="G96" s="27"/>
      <c r="H96" s="27"/>
      <c r="I96" s="27"/>
      <c r="J96" s="27"/>
      <c r="K96" s="27"/>
      <c r="L96" s="27"/>
      <c r="M96" s="27"/>
      <c r="N96" s="27"/>
      <c r="O96" s="27"/>
      <c r="P96" s="27"/>
      <c r="Q96" s="27">
        <f t="shared" si="6"/>
        <v>0</v>
      </c>
      <c r="R96" s="41">
        <f t="shared" si="7"/>
        <v>0</v>
      </c>
      <c r="S96" s="27">
        <f t="shared" si="8"/>
        <v>0</v>
      </c>
      <c r="T96" s="41">
        <f t="shared" si="9"/>
        <v>0</v>
      </c>
    </row>
    <row r="97" spans="1:20">
      <c r="A97" s="27">
        <f t="shared" si="5"/>
        <v>91</v>
      </c>
      <c r="B97" s="27">
        <f>'All Names'!B98</f>
        <v>0</v>
      </c>
      <c r="C97" s="27">
        <f>'All Names'!C98</f>
        <v>0</v>
      </c>
      <c r="D97" s="41">
        <f>'All Names'!E98</f>
        <v>0</v>
      </c>
      <c r="E97" s="27"/>
      <c r="F97" s="27"/>
      <c r="G97" s="27"/>
      <c r="H97" s="27"/>
      <c r="I97" s="27"/>
      <c r="J97" s="27"/>
      <c r="K97" s="27"/>
      <c r="L97" s="27"/>
      <c r="M97" s="27"/>
      <c r="N97" s="27"/>
      <c r="O97" s="27"/>
      <c r="P97" s="27"/>
      <c r="Q97" s="27">
        <f t="shared" si="6"/>
        <v>0</v>
      </c>
      <c r="R97" s="41">
        <f t="shared" si="7"/>
        <v>0</v>
      </c>
      <c r="S97" s="27">
        <f t="shared" si="8"/>
        <v>0</v>
      </c>
      <c r="T97" s="41">
        <f t="shared" si="9"/>
        <v>0</v>
      </c>
    </row>
    <row r="98" spans="1:20">
      <c r="A98" s="27">
        <f t="shared" si="5"/>
        <v>92</v>
      </c>
      <c r="B98" s="27">
        <f>'All Names'!B99</f>
        <v>0</v>
      </c>
      <c r="C98" s="27">
        <f>'All Names'!C99</f>
        <v>0</v>
      </c>
      <c r="D98" s="41">
        <f>'All Names'!E99</f>
        <v>0</v>
      </c>
      <c r="E98" s="27"/>
      <c r="F98" s="27"/>
      <c r="G98" s="27"/>
      <c r="H98" s="27"/>
      <c r="I98" s="27"/>
      <c r="J98" s="27"/>
      <c r="K98" s="27"/>
      <c r="L98" s="27"/>
      <c r="M98" s="27"/>
      <c r="N98" s="27"/>
      <c r="O98" s="27"/>
      <c r="P98" s="27"/>
      <c r="Q98" s="27">
        <f t="shared" si="6"/>
        <v>0</v>
      </c>
      <c r="R98" s="41">
        <f t="shared" si="7"/>
        <v>0</v>
      </c>
      <c r="S98" s="27">
        <f t="shared" si="8"/>
        <v>0</v>
      </c>
      <c r="T98" s="41">
        <f t="shared" si="9"/>
        <v>0</v>
      </c>
    </row>
    <row r="99" spans="1:20">
      <c r="A99" s="27">
        <f t="shared" si="5"/>
        <v>93</v>
      </c>
      <c r="B99" s="27">
        <f>'All Names'!B100</f>
        <v>0</v>
      </c>
      <c r="C99" s="27">
        <f>'All Names'!C100</f>
        <v>0</v>
      </c>
      <c r="D99" s="41">
        <f>'All Names'!E100</f>
        <v>0</v>
      </c>
      <c r="E99" s="27"/>
      <c r="F99" s="27"/>
      <c r="G99" s="27"/>
      <c r="H99" s="27"/>
      <c r="I99" s="27"/>
      <c r="J99" s="27"/>
      <c r="K99" s="27"/>
      <c r="L99" s="27"/>
      <c r="M99" s="27"/>
      <c r="N99" s="27"/>
      <c r="O99" s="27"/>
      <c r="P99" s="27"/>
      <c r="Q99" s="27">
        <f t="shared" si="6"/>
        <v>0</v>
      </c>
      <c r="R99" s="41">
        <f t="shared" si="7"/>
        <v>0</v>
      </c>
      <c r="S99" s="27">
        <f t="shared" si="8"/>
        <v>0</v>
      </c>
      <c r="T99" s="41">
        <f t="shared" si="9"/>
        <v>0</v>
      </c>
    </row>
    <row r="100" spans="1:20">
      <c r="A100" s="27">
        <v>94</v>
      </c>
      <c r="B100" s="27">
        <f>'All Names'!B101</f>
        <v>0</v>
      </c>
      <c r="C100" s="27">
        <f>'All Names'!C101</f>
        <v>0</v>
      </c>
      <c r="D100" s="41">
        <f>'All Names'!E101</f>
        <v>0</v>
      </c>
      <c r="E100" s="27"/>
      <c r="F100" s="27"/>
      <c r="G100" s="27"/>
      <c r="H100" s="27"/>
      <c r="I100" s="27"/>
      <c r="J100" s="27"/>
      <c r="K100" s="27"/>
      <c r="L100" s="27"/>
      <c r="M100" s="27"/>
      <c r="N100" s="27"/>
      <c r="O100" s="27"/>
      <c r="P100" s="27"/>
      <c r="Q100" s="27">
        <f t="shared" si="6"/>
        <v>0</v>
      </c>
      <c r="R100" s="41">
        <f t="shared" si="7"/>
        <v>0</v>
      </c>
      <c r="S100" s="27">
        <f t="shared" si="8"/>
        <v>0</v>
      </c>
      <c r="T100" s="41">
        <f t="shared" si="9"/>
        <v>0</v>
      </c>
    </row>
    <row r="101" spans="1:20">
      <c r="A101" s="27">
        <f t="shared" si="5"/>
        <v>95</v>
      </c>
      <c r="B101" s="27">
        <f>'All Names'!B102</f>
        <v>0</v>
      </c>
      <c r="C101" s="27">
        <f>'All Names'!C102</f>
        <v>0</v>
      </c>
      <c r="D101" s="41">
        <f>'All Names'!E102</f>
        <v>0</v>
      </c>
      <c r="E101" s="27"/>
      <c r="F101" s="27"/>
      <c r="G101" s="27"/>
      <c r="H101" s="27"/>
      <c r="I101" s="27"/>
      <c r="J101" s="27"/>
      <c r="K101" s="27"/>
      <c r="L101" s="27"/>
      <c r="M101" s="27"/>
      <c r="N101" s="27"/>
      <c r="O101" s="27"/>
      <c r="P101" s="27"/>
      <c r="Q101" s="27">
        <f t="shared" ref="Q101:Q105" si="10">COUNTIF(E101:P101,"PAID")</f>
        <v>0</v>
      </c>
      <c r="R101" s="41">
        <f t="shared" ref="R101:R105" si="11">D101*Q101</f>
        <v>0</v>
      </c>
      <c r="S101" s="27">
        <f t="shared" ref="S101:S105" si="12">COUNTIF(E101:P101,"UNPAID")</f>
        <v>0</v>
      </c>
      <c r="T101" s="41">
        <f t="shared" ref="T101:T105" si="13">D101*S101</f>
        <v>0</v>
      </c>
    </row>
    <row r="102" spans="1:20">
      <c r="A102" s="27">
        <f t="shared" si="5"/>
        <v>96</v>
      </c>
      <c r="B102" s="27">
        <f>'All Names'!B103</f>
        <v>0</v>
      </c>
      <c r="C102" s="27">
        <f>'All Names'!C103</f>
        <v>0</v>
      </c>
      <c r="D102" s="41">
        <f>'All Names'!E103</f>
        <v>0</v>
      </c>
      <c r="E102" s="27"/>
      <c r="F102" s="27"/>
      <c r="G102" s="27"/>
      <c r="H102" s="27"/>
      <c r="I102" s="27"/>
      <c r="J102" s="27"/>
      <c r="K102" s="27"/>
      <c r="L102" s="27"/>
      <c r="M102" s="27"/>
      <c r="N102" s="27"/>
      <c r="O102" s="27"/>
      <c r="P102" s="27"/>
      <c r="Q102" s="27">
        <f t="shared" si="10"/>
        <v>0</v>
      </c>
      <c r="R102" s="41">
        <f t="shared" si="11"/>
        <v>0</v>
      </c>
      <c r="S102" s="27">
        <f t="shared" si="12"/>
        <v>0</v>
      </c>
      <c r="T102" s="41">
        <f t="shared" si="13"/>
        <v>0</v>
      </c>
    </row>
    <row r="103" spans="1:20">
      <c r="A103" s="27">
        <f t="shared" si="5"/>
        <v>97</v>
      </c>
      <c r="B103" s="27">
        <f>'All Names'!B104</f>
        <v>0</v>
      </c>
      <c r="C103" s="27">
        <f>'All Names'!C104</f>
        <v>0</v>
      </c>
      <c r="D103" s="41">
        <f>'All Names'!E104</f>
        <v>0</v>
      </c>
      <c r="E103" s="27"/>
      <c r="F103" s="27"/>
      <c r="G103" s="27"/>
      <c r="H103" s="27"/>
      <c r="I103" s="27"/>
      <c r="J103" s="27"/>
      <c r="K103" s="27"/>
      <c r="L103" s="27"/>
      <c r="M103" s="27"/>
      <c r="N103" s="27"/>
      <c r="O103" s="27"/>
      <c r="P103" s="27"/>
      <c r="Q103" s="27">
        <f t="shared" si="10"/>
        <v>0</v>
      </c>
      <c r="R103" s="41">
        <f t="shared" si="11"/>
        <v>0</v>
      </c>
      <c r="S103" s="27">
        <f t="shared" si="12"/>
        <v>0</v>
      </c>
      <c r="T103" s="41">
        <f t="shared" si="13"/>
        <v>0</v>
      </c>
    </row>
    <row r="104" spans="1:20">
      <c r="A104" s="27">
        <f t="shared" si="5"/>
        <v>98</v>
      </c>
      <c r="B104" s="27">
        <f>'All Names'!B105</f>
        <v>0</v>
      </c>
      <c r="C104" s="27">
        <f>'All Names'!C105</f>
        <v>0</v>
      </c>
      <c r="D104" s="41">
        <f>'All Names'!E105</f>
        <v>0</v>
      </c>
      <c r="E104" s="27"/>
      <c r="F104" s="27"/>
      <c r="G104" s="27"/>
      <c r="H104" s="27"/>
      <c r="I104" s="27"/>
      <c r="J104" s="27"/>
      <c r="K104" s="27"/>
      <c r="L104" s="27"/>
      <c r="M104" s="27"/>
      <c r="N104" s="27"/>
      <c r="O104" s="27"/>
      <c r="P104" s="27"/>
      <c r="Q104" s="27">
        <f t="shared" si="10"/>
        <v>0</v>
      </c>
      <c r="R104" s="41">
        <f t="shared" si="11"/>
        <v>0</v>
      </c>
      <c r="S104" s="27">
        <f t="shared" si="12"/>
        <v>0</v>
      </c>
      <c r="T104" s="41">
        <f t="shared" si="13"/>
        <v>0</v>
      </c>
    </row>
    <row r="105" spans="1:20">
      <c r="A105" s="27">
        <f t="shared" si="5"/>
        <v>99</v>
      </c>
      <c r="B105" s="27">
        <f>'All Names'!B106</f>
        <v>0</v>
      </c>
      <c r="C105" s="27">
        <f>'All Names'!C106</f>
        <v>0</v>
      </c>
      <c r="D105" s="41">
        <f>'All Names'!E106</f>
        <v>0</v>
      </c>
      <c r="E105" s="27"/>
      <c r="F105" s="27"/>
      <c r="G105" s="27"/>
      <c r="H105" s="27"/>
      <c r="I105" s="27"/>
      <c r="J105" s="27"/>
      <c r="K105" s="27"/>
      <c r="L105" s="27"/>
      <c r="M105" s="27"/>
      <c r="N105" s="27"/>
      <c r="O105" s="27"/>
      <c r="P105" s="27"/>
      <c r="Q105" s="27">
        <f t="shared" si="10"/>
        <v>0</v>
      </c>
      <c r="R105" s="41">
        <f t="shared" si="11"/>
        <v>0</v>
      </c>
      <c r="S105" s="27">
        <f t="shared" si="12"/>
        <v>0</v>
      </c>
      <c r="T105" s="41">
        <f t="shared" si="13"/>
        <v>0</v>
      </c>
    </row>
    <row r="106" spans="1:20">
      <c r="A106" s="27">
        <f t="shared" si="5"/>
        <v>100</v>
      </c>
      <c r="B106" s="27">
        <f>'All Names'!B107</f>
        <v>0</v>
      </c>
      <c r="C106" s="27">
        <f>'All Names'!C107</f>
        <v>0</v>
      </c>
      <c r="D106" s="41">
        <f>'All Names'!E107</f>
        <v>0</v>
      </c>
      <c r="E106" s="27"/>
      <c r="F106" s="27"/>
      <c r="G106" s="27"/>
      <c r="H106" s="27"/>
      <c r="I106" s="27"/>
      <c r="J106" s="27"/>
      <c r="K106" s="27"/>
      <c r="L106" s="27"/>
      <c r="M106" s="27"/>
      <c r="N106" s="27"/>
      <c r="O106" s="27"/>
      <c r="P106" s="27"/>
      <c r="Q106" s="27">
        <f t="shared" ref="Q106:Q115" si="14">COUNTIF(E106:P106,"PAID")</f>
        <v>0</v>
      </c>
      <c r="R106" s="41">
        <f t="shared" ref="R106:R115" si="15">D106*Q106</f>
        <v>0</v>
      </c>
      <c r="S106" s="27">
        <f t="shared" ref="S106:S115" si="16">COUNTIF(E106:P106,"UNPAID")</f>
        <v>0</v>
      </c>
      <c r="T106" s="41">
        <f t="shared" ref="T106:T115" si="17">D106*S106</f>
        <v>0</v>
      </c>
    </row>
    <row r="107" spans="1:20">
      <c r="A107" s="27">
        <f t="shared" si="5"/>
        <v>101</v>
      </c>
      <c r="B107" s="27">
        <f>'All Names'!B108</f>
        <v>0</v>
      </c>
      <c r="C107" s="27">
        <f>'All Names'!C108</f>
        <v>0</v>
      </c>
      <c r="D107" s="41">
        <f>'All Names'!E108</f>
        <v>0</v>
      </c>
      <c r="E107" s="27"/>
      <c r="F107" s="27"/>
      <c r="G107" s="27"/>
      <c r="H107" s="27"/>
      <c r="I107" s="27"/>
      <c r="J107" s="27"/>
      <c r="K107" s="27"/>
      <c r="L107" s="27"/>
      <c r="M107" s="27"/>
      <c r="N107" s="27"/>
      <c r="O107" s="27"/>
      <c r="P107" s="27"/>
      <c r="Q107" s="27">
        <f t="shared" si="14"/>
        <v>0</v>
      </c>
      <c r="R107" s="41">
        <f t="shared" si="15"/>
        <v>0</v>
      </c>
      <c r="S107" s="27">
        <f t="shared" si="16"/>
        <v>0</v>
      </c>
      <c r="T107" s="41">
        <f t="shared" si="17"/>
        <v>0</v>
      </c>
    </row>
    <row r="108" spans="1:20">
      <c r="A108" s="27">
        <f t="shared" si="5"/>
        <v>102</v>
      </c>
      <c r="B108" s="27">
        <f>'All Names'!B109</f>
        <v>0</v>
      </c>
      <c r="C108" s="27">
        <f>'All Names'!C109</f>
        <v>0</v>
      </c>
      <c r="D108" s="41">
        <f>'All Names'!E109</f>
        <v>0</v>
      </c>
      <c r="E108" s="27"/>
      <c r="F108" s="27"/>
      <c r="G108" s="27"/>
      <c r="H108" s="27"/>
      <c r="I108" s="27"/>
      <c r="J108" s="27"/>
      <c r="K108" s="27"/>
      <c r="L108" s="27"/>
      <c r="M108" s="27"/>
      <c r="N108" s="27"/>
      <c r="O108" s="27"/>
      <c r="P108" s="27"/>
      <c r="Q108" s="27">
        <f t="shared" si="14"/>
        <v>0</v>
      </c>
      <c r="R108" s="41">
        <f t="shared" si="15"/>
        <v>0</v>
      </c>
      <c r="S108" s="27">
        <f t="shared" si="16"/>
        <v>0</v>
      </c>
      <c r="T108" s="41">
        <f t="shared" si="17"/>
        <v>0</v>
      </c>
    </row>
    <row r="109" spans="1:20">
      <c r="A109" s="27">
        <f t="shared" si="5"/>
        <v>103</v>
      </c>
      <c r="B109" s="27">
        <f>'All Names'!B110</f>
        <v>0</v>
      </c>
      <c r="C109" s="27">
        <f>'All Names'!C110</f>
        <v>0</v>
      </c>
      <c r="D109" s="41">
        <f>'All Names'!E110</f>
        <v>0</v>
      </c>
      <c r="E109" s="27"/>
      <c r="F109" s="27"/>
      <c r="G109" s="27"/>
      <c r="H109" s="27"/>
      <c r="I109" s="27"/>
      <c r="J109" s="27"/>
      <c r="K109" s="27"/>
      <c r="L109" s="27"/>
      <c r="M109" s="27"/>
      <c r="N109" s="27"/>
      <c r="O109" s="27"/>
      <c r="P109" s="27"/>
      <c r="Q109" s="27">
        <f t="shared" si="14"/>
        <v>0</v>
      </c>
      <c r="R109" s="41">
        <f t="shared" si="15"/>
        <v>0</v>
      </c>
      <c r="S109" s="27">
        <f t="shared" si="16"/>
        <v>0</v>
      </c>
      <c r="T109" s="41">
        <f t="shared" si="17"/>
        <v>0</v>
      </c>
    </row>
    <row r="110" spans="1:20">
      <c r="A110" s="27">
        <f t="shared" si="5"/>
        <v>104</v>
      </c>
      <c r="B110" s="27">
        <f>'All Names'!B111</f>
        <v>0</v>
      </c>
      <c r="C110" s="27">
        <f>'All Names'!C111</f>
        <v>0</v>
      </c>
      <c r="D110" s="41">
        <f>'All Names'!E111</f>
        <v>0</v>
      </c>
      <c r="E110" s="27"/>
      <c r="F110" s="27"/>
      <c r="G110" s="27"/>
      <c r="H110" s="27"/>
      <c r="I110" s="27"/>
      <c r="J110" s="27"/>
      <c r="K110" s="27"/>
      <c r="L110" s="27"/>
      <c r="M110" s="27"/>
      <c r="N110" s="27"/>
      <c r="O110" s="27"/>
      <c r="P110" s="27"/>
      <c r="Q110" s="27">
        <f t="shared" si="14"/>
        <v>0</v>
      </c>
      <c r="R110" s="41">
        <f t="shared" si="15"/>
        <v>0</v>
      </c>
      <c r="S110" s="27">
        <f t="shared" si="16"/>
        <v>0</v>
      </c>
      <c r="T110" s="41">
        <f t="shared" si="17"/>
        <v>0</v>
      </c>
    </row>
    <row r="111" spans="1:20">
      <c r="A111" s="27">
        <f t="shared" si="5"/>
        <v>105</v>
      </c>
      <c r="B111" s="27">
        <f>'All Names'!B112</f>
        <v>0</v>
      </c>
      <c r="C111" s="27">
        <f>'All Names'!C112</f>
        <v>0</v>
      </c>
      <c r="D111" s="41">
        <f>'All Names'!E112</f>
        <v>0</v>
      </c>
      <c r="E111" s="27"/>
      <c r="F111" s="27"/>
      <c r="G111" s="27"/>
      <c r="H111" s="27"/>
      <c r="I111" s="27"/>
      <c r="J111" s="27"/>
      <c r="K111" s="27"/>
      <c r="L111" s="27"/>
      <c r="M111" s="27"/>
      <c r="N111" s="27"/>
      <c r="O111" s="27"/>
      <c r="P111" s="27"/>
      <c r="Q111" s="27">
        <f t="shared" si="14"/>
        <v>0</v>
      </c>
      <c r="R111" s="41">
        <f t="shared" si="15"/>
        <v>0</v>
      </c>
      <c r="S111" s="27">
        <f t="shared" si="16"/>
        <v>0</v>
      </c>
      <c r="T111" s="41">
        <f t="shared" si="17"/>
        <v>0</v>
      </c>
    </row>
    <row r="112" spans="1:20">
      <c r="A112" s="27">
        <f t="shared" si="5"/>
        <v>106</v>
      </c>
      <c r="B112" s="27">
        <f>'All Names'!B113</f>
        <v>0</v>
      </c>
      <c r="C112" s="27">
        <f>'All Names'!C113</f>
        <v>0</v>
      </c>
      <c r="D112" s="41">
        <f>'All Names'!E113</f>
        <v>0</v>
      </c>
      <c r="E112" s="27"/>
      <c r="F112" s="27"/>
      <c r="G112" s="27"/>
      <c r="H112" s="27"/>
      <c r="I112" s="27"/>
      <c r="J112" s="27"/>
      <c r="K112" s="27"/>
      <c r="L112" s="27"/>
      <c r="M112" s="27"/>
      <c r="N112" s="27"/>
      <c r="O112" s="27"/>
      <c r="P112" s="27"/>
      <c r="Q112" s="27">
        <f t="shared" si="14"/>
        <v>0</v>
      </c>
      <c r="R112" s="41">
        <f t="shared" si="15"/>
        <v>0</v>
      </c>
      <c r="S112" s="27">
        <f t="shared" si="16"/>
        <v>0</v>
      </c>
      <c r="T112" s="41">
        <f t="shared" si="17"/>
        <v>0</v>
      </c>
    </row>
    <row r="113" spans="1:20">
      <c r="A113" s="27">
        <f t="shared" si="5"/>
        <v>107</v>
      </c>
      <c r="B113" s="27">
        <f>'All Names'!B114</f>
        <v>0</v>
      </c>
      <c r="C113" s="27">
        <f>'All Names'!C114</f>
        <v>0</v>
      </c>
      <c r="D113" s="41">
        <f>'All Names'!E114</f>
        <v>0</v>
      </c>
      <c r="E113" s="27"/>
      <c r="F113" s="27"/>
      <c r="G113" s="27"/>
      <c r="H113" s="27"/>
      <c r="I113" s="27"/>
      <c r="J113" s="27"/>
      <c r="K113" s="27"/>
      <c r="L113" s="27"/>
      <c r="M113" s="27"/>
      <c r="N113" s="27"/>
      <c r="O113" s="27"/>
      <c r="P113" s="27"/>
      <c r="Q113" s="27">
        <f t="shared" si="14"/>
        <v>0</v>
      </c>
      <c r="R113" s="41">
        <f t="shared" si="15"/>
        <v>0</v>
      </c>
      <c r="S113" s="27">
        <f t="shared" si="16"/>
        <v>0</v>
      </c>
      <c r="T113" s="41">
        <f t="shared" si="17"/>
        <v>0</v>
      </c>
    </row>
    <row r="114" spans="1:20">
      <c r="A114" s="27">
        <f t="shared" si="5"/>
        <v>108</v>
      </c>
      <c r="B114" s="27">
        <f>'All Names'!B115</f>
        <v>0</v>
      </c>
      <c r="C114" s="27">
        <f>'All Names'!C115</f>
        <v>0</v>
      </c>
      <c r="D114" s="41">
        <f>'All Names'!E115</f>
        <v>0</v>
      </c>
      <c r="E114" s="27"/>
      <c r="F114" s="27"/>
      <c r="G114" s="27"/>
      <c r="H114" s="27"/>
      <c r="I114" s="27"/>
      <c r="J114" s="27"/>
      <c r="K114" s="27"/>
      <c r="L114" s="27"/>
      <c r="M114" s="27"/>
      <c r="N114" s="27"/>
      <c r="O114" s="27"/>
      <c r="P114" s="27"/>
      <c r="Q114" s="27">
        <f t="shared" si="14"/>
        <v>0</v>
      </c>
      <c r="R114" s="41">
        <f t="shared" si="15"/>
        <v>0</v>
      </c>
      <c r="S114" s="27">
        <f t="shared" si="16"/>
        <v>0</v>
      </c>
      <c r="T114" s="41">
        <f t="shared" si="17"/>
        <v>0</v>
      </c>
    </row>
    <row r="115" spans="1:20">
      <c r="A115" s="27">
        <f t="shared" si="5"/>
        <v>109</v>
      </c>
      <c r="B115" s="27">
        <f>'All Names'!B116</f>
        <v>0</v>
      </c>
      <c r="C115" s="27">
        <f>'All Names'!C116</f>
        <v>0</v>
      </c>
      <c r="D115" s="41">
        <f>'All Names'!E116</f>
        <v>0</v>
      </c>
      <c r="E115" s="27"/>
      <c r="F115" s="27"/>
      <c r="G115" s="27"/>
      <c r="H115" s="27"/>
      <c r="I115" s="27"/>
      <c r="J115" s="27"/>
      <c r="K115" s="27"/>
      <c r="L115" s="27"/>
      <c r="M115" s="27"/>
      <c r="N115" s="27"/>
      <c r="O115" s="27"/>
      <c r="P115" s="27"/>
      <c r="Q115" s="27">
        <f t="shared" si="14"/>
        <v>0</v>
      </c>
      <c r="R115" s="41">
        <f t="shared" si="15"/>
        <v>0</v>
      </c>
      <c r="S115" s="27">
        <f t="shared" si="16"/>
        <v>0</v>
      </c>
      <c r="T115" s="41">
        <f t="shared" si="17"/>
        <v>0</v>
      </c>
    </row>
    <row r="116" spans="1:20">
      <c r="A116" s="27">
        <f t="shared" si="5"/>
        <v>110</v>
      </c>
      <c r="B116" s="27">
        <f>'All Names'!B117</f>
        <v>0</v>
      </c>
      <c r="C116" s="27">
        <f>'All Names'!C117</f>
        <v>0</v>
      </c>
      <c r="D116" s="41">
        <f>'All Names'!E117</f>
        <v>0</v>
      </c>
      <c r="E116" s="27"/>
      <c r="F116" s="27"/>
      <c r="G116" s="27"/>
      <c r="H116" s="27"/>
      <c r="I116" s="27"/>
      <c r="J116" s="27"/>
      <c r="K116" s="27"/>
      <c r="L116" s="27"/>
      <c r="M116" s="27"/>
      <c r="N116" s="27"/>
      <c r="O116" s="27"/>
      <c r="P116" s="27"/>
      <c r="Q116" s="27">
        <f>COUNTIF(E116:P116,"PAID")</f>
        <v>0</v>
      </c>
      <c r="R116" s="41">
        <f>D116*Q116</f>
        <v>0</v>
      </c>
      <c r="S116" s="27">
        <f>COUNTIF(E116:P116,"UNPAID")</f>
        <v>0</v>
      </c>
      <c r="T116" s="41">
        <f>D116*S116</f>
        <v>0</v>
      </c>
    </row>
  </sheetData>
  <sheetProtection formatCells="0" formatColumns="0" formatRows="0" insertColumns="0" insertRows="0" insertHyperlinks="0" deleteColumns="0" deleteRows="0" sort="0" autoFilter="0" pivotTables="0"/>
  <mergeCells count="1">
    <mergeCell ref="A1:L3"/>
  </mergeCells>
  <conditionalFormatting sqref="E4:P11 F11:P14 E12:J12 E13:P1048576 O1:P3">
    <cfRule type="cellIs" dxfId="267" priority="2" operator="equal">
      <formula>"PAID"</formula>
    </cfRule>
    <cfRule type="cellIs" dxfId="266" priority="3" operator="equal">
      <formula>"UNPAID"</formula>
    </cfRule>
  </conditionalFormatting>
  <conditionalFormatting sqref="E7:P116">
    <cfRule type="beginsWith" dxfId="265" priority="1" operator="beginsWith" text="LEFT">
      <formula>LEFT(E7,LEN("LEFT"))="LEFT"</formula>
    </cfRule>
  </conditionalFormatting>
  <dataValidations count="5">
    <dataValidation type="list" allowBlank="1" showInputMessage="1" showErrorMessage="1" sqref="C117:C1048576 C6" xr:uid="{D23C3005-B0EB-4B26-99EC-C1C2BA178AD2}">
      <formula1>"0th,Jr.kg,Sr.kg,1st,2nd,3rd,4th,5th,6th,7th,8th,9th,10th"</formula1>
    </dataValidation>
    <dataValidation type="list" allowBlank="1" showInputMessage="1" showErrorMessage="1" sqref="W48" xr:uid="{38723925-C2EB-4260-80BB-CE60F14582BB}">
      <formula1>$E$6:$P$6</formula1>
    </dataValidation>
    <dataValidation type="list" allowBlank="1" showInputMessage="1" showErrorMessage="1" sqref="V48 V45" xr:uid="{E822E484-D0F7-4A69-8264-FBC3F21C3CA3}">
      <formula1>$B$7:$B$116</formula1>
    </dataValidation>
    <dataValidation type="list" allowBlank="1" showInputMessage="1" showErrorMessage="1" sqref="C7:C116" xr:uid="{6C40ADF5-3399-1B4E-85B1-136814E088F6}">
      <formula1>"0th,Jr.kg/Sr.kg,1st,2nd,3rd,4th,5th,6th,7th,8th,9th,10th"</formula1>
    </dataValidation>
    <dataValidation type="list" allowBlank="1" showInputMessage="1" showErrorMessage="1" sqref="E7:P116" xr:uid="{E866079C-B20F-4307-A294-E06062093182}">
      <formula1>"PAID,UNPAID,LEFT,NOT GIVEN,NOT CAME"</formula1>
    </dataValidation>
  </dataValidations>
  <pageMargins left="0.7" right="0.7" top="0.75" bottom="0.75" header="0.3" footer="0.3"/>
  <pageSetup scale="14"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8D669-2ECF-47CD-A8B8-C7C76E8CB68E}">
  <sheetPr codeName="Sheet6">
    <tabColor rgb="FF002060"/>
    <pageSetUpPr fitToPage="1"/>
  </sheetPr>
  <dimension ref="A1:AE112"/>
  <sheetViews>
    <sheetView zoomScale="85" zoomScaleNormal="85" workbookViewId="0">
      <selection sqref="A1:Q3"/>
    </sheetView>
  </sheetViews>
  <sheetFormatPr defaultColWidth="9.140625" defaultRowHeight="15.75"/>
  <cols>
    <col min="1" max="1" width="14.5703125" style="9" bestFit="1" customWidth="1"/>
    <col min="2" max="2" width="21.140625" style="9" bestFit="1" customWidth="1"/>
    <col min="3" max="3" width="12.5703125" style="9" bestFit="1" customWidth="1"/>
    <col min="4" max="4" width="18.140625" style="9" bestFit="1" customWidth="1"/>
    <col min="5" max="5" width="30.5703125" style="9" bestFit="1" customWidth="1"/>
    <col min="6" max="6" width="15.42578125" style="9" bestFit="1" customWidth="1"/>
    <col min="7" max="7" width="26.140625" style="9" customWidth="1"/>
    <col min="8" max="16384" width="9.140625" style="9"/>
  </cols>
  <sheetData>
    <row r="1" spans="1:31" ht="15.75" customHeight="1">
      <c r="A1" s="249" t="s">
        <v>245</v>
      </c>
      <c r="B1" s="250"/>
      <c r="C1" s="250"/>
      <c r="D1" s="250"/>
      <c r="E1" s="250"/>
      <c r="F1" s="250"/>
      <c r="G1" s="250"/>
      <c r="H1" s="250"/>
      <c r="I1" s="250"/>
      <c r="J1" s="250"/>
      <c r="K1" s="250"/>
      <c r="L1" s="250"/>
      <c r="M1" s="250"/>
      <c r="N1" s="250"/>
      <c r="O1" s="250"/>
      <c r="P1" s="250"/>
      <c r="Q1" s="250"/>
      <c r="R1" s="36"/>
      <c r="S1" s="36"/>
      <c r="T1" s="36"/>
      <c r="U1" s="36"/>
      <c r="V1" s="36"/>
      <c r="W1" s="48"/>
      <c r="X1" s="48"/>
      <c r="Y1" s="48"/>
      <c r="Z1" s="48"/>
    </row>
    <row r="2" spans="1:31" ht="15.75" customHeight="1">
      <c r="A2" s="249"/>
      <c r="B2" s="250"/>
      <c r="C2" s="250"/>
      <c r="D2" s="250"/>
      <c r="E2" s="250"/>
      <c r="F2" s="250"/>
      <c r="G2" s="250"/>
      <c r="H2" s="250"/>
      <c r="I2" s="250"/>
      <c r="J2" s="250"/>
      <c r="K2" s="250"/>
      <c r="L2" s="250"/>
      <c r="M2" s="250"/>
      <c r="N2" s="250"/>
      <c r="O2" s="250"/>
      <c r="P2" s="250"/>
      <c r="Q2" s="250"/>
      <c r="R2" s="36"/>
      <c r="S2" s="36"/>
      <c r="T2" s="36"/>
      <c r="U2" s="36"/>
      <c r="V2" s="36"/>
      <c r="W2" s="48"/>
      <c r="X2" s="48"/>
      <c r="Y2" s="48"/>
      <c r="Z2" s="48"/>
    </row>
    <row r="3" spans="1:31" ht="15.75" customHeight="1">
      <c r="A3" s="249"/>
      <c r="B3" s="250"/>
      <c r="C3" s="250"/>
      <c r="D3" s="250"/>
      <c r="E3" s="250"/>
      <c r="F3" s="250"/>
      <c r="G3" s="250"/>
      <c r="H3" s="250"/>
      <c r="I3" s="250"/>
      <c r="J3" s="250"/>
      <c r="K3" s="250"/>
      <c r="L3" s="250"/>
      <c r="M3" s="250"/>
      <c r="N3" s="250"/>
      <c r="O3" s="250"/>
      <c r="P3" s="250"/>
      <c r="Q3" s="250"/>
      <c r="R3" s="36"/>
      <c r="S3" s="36"/>
      <c r="T3" s="36"/>
      <c r="U3" s="36"/>
      <c r="V3" s="36"/>
      <c r="W3" s="48"/>
      <c r="X3" s="48"/>
      <c r="Y3" s="48"/>
      <c r="Z3" s="48"/>
    </row>
    <row r="4" spans="1:31" ht="16.5" thickBot="1"/>
    <row r="5" spans="1:31" ht="21" thickBot="1">
      <c r="A5" s="255" t="s">
        <v>244</v>
      </c>
      <c r="B5" s="256"/>
      <c r="C5" s="256"/>
      <c r="D5" s="256"/>
      <c r="E5" s="256"/>
      <c r="F5" s="256"/>
      <c r="G5" s="257"/>
    </row>
    <row r="6" spans="1:31">
      <c r="A6" s="60"/>
      <c r="B6" s="60"/>
      <c r="C6" s="60"/>
      <c r="D6" s="60"/>
      <c r="E6" s="60"/>
      <c r="F6" s="60"/>
    </row>
    <row r="7" spans="1:31" ht="16.5" thickBot="1">
      <c r="A7" s="74" t="s">
        <v>20</v>
      </c>
      <c r="B7" s="17" t="s">
        <v>21</v>
      </c>
      <c r="C7" s="78" t="s">
        <v>43</v>
      </c>
      <c r="D7" s="17" t="s">
        <v>239</v>
      </c>
      <c r="E7" s="17" t="s">
        <v>294</v>
      </c>
      <c r="F7" s="17" t="s">
        <v>5</v>
      </c>
      <c r="G7" s="17" t="s">
        <v>242</v>
      </c>
    </row>
    <row r="8" spans="1:31">
      <c r="A8" s="27">
        <f t="shared" ref="A8:A22" si="0">ROW()-7</f>
        <v>1</v>
      </c>
      <c r="B8" s="27" t="str">
        <f>'Regular Fees '!B7</f>
        <v>Student 1</v>
      </c>
      <c r="C8" s="41">
        <f>'Regular Fees '!D7</f>
        <v>200</v>
      </c>
      <c r="D8" s="61">
        <v>46204</v>
      </c>
      <c r="E8" s="30" t="s">
        <v>199</v>
      </c>
      <c r="F8" s="27" t="str">
        <f>'Regular Fees '!E7</f>
        <v>PAID</v>
      </c>
      <c r="G8" s="27" t="s">
        <v>248</v>
      </c>
      <c r="I8" s="272" t="s">
        <v>241</v>
      </c>
      <c r="J8" s="273"/>
      <c r="K8" s="273"/>
      <c r="L8" s="274"/>
    </row>
    <row r="9" spans="1:31" ht="15.75" customHeight="1" thickBot="1">
      <c r="A9" s="27">
        <f t="shared" si="0"/>
        <v>2</v>
      </c>
      <c r="B9" s="27" t="str">
        <f>'Regular Fees '!B20</f>
        <v>Student 14</v>
      </c>
      <c r="C9" s="41">
        <f>'Regular Fees '!D20</f>
        <v>400</v>
      </c>
      <c r="D9" s="62">
        <v>46204</v>
      </c>
      <c r="E9" s="30" t="s">
        <v>199</v>
      </c>
      <c r="F9" s="27" t="str">
        <f>'Regular Fees '!E20</f>
        <v>PAID</v>
      </c>
      <c r="G9" s="27" t="s">
        <v>248</v>
      </c>
      <c r="I9" s="275"/>
      <c r="J9" s="276"/>
      <c r="K9" s="276"/>
      <c r="L9" s="277"/>
      <c r="P9" s="128"/>
      <c r="Q9" s="128"/>
      <c r="R9" s="128"/>
      <c r="S9" s="128"/>
      <c r="T9" s="128"/>
      <c r="U9" s="128"/>
      <c r="V9" s="128"/>
      <c r="W9" s="128"/>
      <c r="X9" s="128"/>
      <c r="Y9" s="128"/>
      <c r="Z9" s="128"/>
      <c r="AA9" s="128"/>
      <c r="AB9" s="128"/>
      <c r="AC9" s="128"/>
      <c r="AD9" s="128"/>
      <c r="AE9" s="128"/>
    </row>
    <row r="10" spans="1:31" ht="15.75" customHeight="1">
      <c r="A10" s="27">
        <f t="shared" si="0"/>
        <v>3</v>
      </c>
      <c r="B10" s="27" t="str">
        <f>'Regular Fees '!B21</f>
        <v>Student 15</v>
      </c>
      <c r="C10" s="41">
        <f>'Regular Fees '!D21</f>
        <v>300</v>
      </c>
      <c r="D10" s="61">
        <v>46204</v>
      </c>
      <c r="E10" s="30" t="s">
        <v>199</v>
      </c>
      <c r="F10" s="27" t="str">
        <f>'Regular Fees '!E21</f>
        <v>PAID</v>
      </c>
      <c r="G10" s="27" t="s">
        <v>248</v>
      </c>
      <c r="I10" s="278" t="s">
        <v>289</v>
      </c>
      <c r="J10" s="278"/>
      <c r="K10" s="268">
        <f>SUM(C8:C21)</f>
        <v>4200</v>
      </c>
      <c r="L10" s="268"/>
      <c r="P10" s="128"/>
      <c r="Q10" s="128"/>
      <c r="R10" s="128"/>
      <c r="S10" s="128"/>
      <c r="T10" s="128"/>
      <c r="U10" s="128"/>
      <c r="V10" s="128"/>
      <c r="W10" s="128"/>
      <c r="X10" s="128"/>
      <c r="Y10" s="128"/>
      <c r="Z10" s="128"/>
      <c r="AA10" s="128"/>
      <c r="AB10" s="128"/>
      <c r="AC10" s="128"/>
      <c r="AD10" s="128"/>
      <c r="AE10" s="128"/>
    </row>
    <row r="11" spans="1:31" ht="15.75" customHeight="1">
      <c r="A11" s="27">
        <f t="shared" si="0"/>
        <v>4</v>
      </c>
      <c r="B11" s="27" t="str">
        <f>'Regular Fees '!B25</f>
        <v>Student 19</v>
      </c>
      <c r="C11" s="41">
        <f>'Regular Fees '!D25</f>
        <v>250</v>
      </c>
      <c r="D11" s="62">
        <v>46204</v>
      </c>
      <c r="E11" s="30" t="s">
        <v>199</v>
      </c>
      <c r="F11" s="27" t="str">
        <f>'Regular Fees '!E25</f>
        <v>PAID</v>
      </c>
      <c r="G11" s="27" t="s">
        <v>243</v>
      </c>
      <c r="I11" s="234"/>
      <c r="J11" s="234"/>
      <c r="K11" s="269"/>
      <c r="L11" s="269"/>
      <c r="P11" s="128"/>
      <c r="Q11" s="128"/>
      <c r="R11" s="128"/>
      <c r="S11" s="128"/>
      <c r="T11" s="128"/>
      <c r="U11" s="128"/>
      <c r="V11" s="128"/>
      <c r="W11" s="128"/>
      <c r="X11" s="128"/>
      <c r="Y11" s="128"/>
      <c r="Z11" s="128"/>
      <c r="AA11" s="128"/>
      <c r="AB11" s="128"/>
      <c r="AC11" s="128"/>
      <c r="AD11" s="128"/>
      <c r="AE11" s="128"/>
    </row>
    <row r="12" spans="1:31">
      <c r="A12" s="27">
        <f t="shared" si="0"/>
        <v>5</v>
      </c>
      <c r="B12" s="27" t="str">
        <f>'Regular Fees '!B26</f>
        <v>Student 20</v>
      </c>
      <c r="C12" s="41">
        <f>'Regular Fees '!D26</f>
        <v>300</v>
      </c>
      <c r="D12" s="61">
        <v>46204</v>
      </c>
      <c r="E12" s="30" t="s">
        <v>199</v>
      </c>
      <c r="F12" s="27" t="str">
        <f>'Regular Fees '!E26</f>
        <v>PAID</v>
      </c>
      <c r="G12" s="27" t="s">
        <v>248</v>
      </c>
      <c r="I12" s="234" t="s">
        <v>325</v>
      </c>
      <c r="J12" s="234"/>
      <c r="K12" s="270">
        <f>SUMIF(Table3[STATUS],"PAID",Table3[FEES])</f>
        <v>4000</v>
      </c>
      <c r="L12" s="270"/>
    </row>
    <row r="13" spans="1:31">
      <c r="A13" s="27">
        <f t="shared" si="0"/>
        <v>6</v>
      </c>
      <c r="B13" s="27" t="str">
        <f>'Regular Fees '!B28</f>
        <v>Student 22</v>
      </c>
      <c r="C13" s="41">
        <f>'Regular Fees '!D28</f>
        <v>250</v>
      </c>
      <c r="D13" s="62">
        <v>46204</v>
      </c>
      <c r="E13" s="30" t="s">
        <v>199</v>
      </c>
      <c r="F13" s="27" t="str">
        <f>'Regular Fees '!E28</f>
        <v>PAID</v>
      </c>
      <c r="G13" s="27" t="s">
        <v>248</v>
      </c>
      <c r="I13" s="234"/>
      <c r="J13" s="234"/>
      <c r="K13" s="270"/>
      <c r="L13" s="270"/>
    </row>
    <row r="14" spans="1:31">
      <c r="A14" s="27">
        <f t="shared" si="0"/>
        <v>7</v>
      </c>
      <c r="B14" s="27" t="str">
        <f>'Regular Fees '!B30</f>
        <v>Student 24</v>
      </c>
      <c r="C14" s="41">
        <f>'Regular Fees '!D30</f>
        <v>200</v>
      </c>
      <c r="D14" s="61">
        <v>46204</v>
      </c>
      <c r="E14" s="30" t="s">
        <v>199</v>
      </c>
      <c r="F14" s="27" t="str">
        <f>'Regular Fees '!E30</f>
        <v>PAID</v>
      </c>
      <c r="G14" s="27" t="s">
        <v>248</v>
      </c>
      <c r="I14" s="234" t="s">
        <v>326</v>
      </c>
      <c r="J14" s="234"/>
      <c r="K14" s="271">
        <f>SUMIF(F8:F21,"UNPAID",C8:C21)</f>
        <v>200</v>
      </c>
      <c r="L14" s="271"/>
    </row>
    <row r="15" spans="1:31">
      <c r="A15" s="27">
        <f t="shared" si="0"/>
        <v>8</v>
      </c>
      <c r="B15" s="27" t="str">
        <f>'Regular Fees '!B36</f>
        <v>Student 30</v>
      </c>
      <c r="C15" s="41">
        <f>'Regular Fees '!D36</f>
        <v>200</v>
      </c>
      <c r="D15" s="62">
        <v>46204</v>
      </c>
      <c r="E15" s="30" t="s">
        <v>199</v>
      </c>
      <c r="F15" s="27" t="str">
        <f>'Regular Fees '!E36</f>
        <v>PAID</v>
      </c>
      <c r="G15" s="27" t="s">
        <v>243</v>
      </c>
      <c r="I15" s="234"/>
      <c r="J15" s="234"/>
      <c r="K15" s="271"/>
      <c r="L15" s="271"/>
    </row>
    <row r="16" spans="1:31">
      <c r="A16" s="27">
        <f t="shared" si="0"/>
        <v>9</v>
      </c>
      <c r="B16" s="27" t="str">
        <f>'Regular Fees '!B29</f>
        <v>Student 23</v>
      </c>
      <c r="C16" s="41">
        <f>'Regular Fees '!D29</f>
        <v>250</v>
      </c>
      <c r="D16" s="61">
        <v>46213</v>
      </c>
      <c r="E16" s="63" t="s">
        <v>199</v>
      </c>
      <c r="F16" s="27" t="str">
        <f>'Regular Fees '!E29</f>
        <v>PAID</v>
      </c>
      <c r="G16" s="27" t="s">
        <v>248</v>
      </c>
    </row>
    <row r="17" spans="1:12">
      <c r="A17" s="27">
        <f t="shared" si="0"/>
        <v>10</v>
      </c>
      <c r="B17" s="27" t="str">
        <f>'Regular Fees '!B33</f>
        <v>Student 27</v>
      </c>
      <c r="C17" s="41">
        <f>'Regular Fees '!D33</f>
        <v>300</v>
      </c>
      <c r="D17" s="62">
        <v>46213</v>
      </c>
      <c r="E17" s="30" t="s">
        <v>199</v>
      </c>
      <c r="F17" s="27" t="str">
        <f>'Regular Fees '!E33</f>
        <v>PAID</v>
      </c>
      <c r="G17" s="27" t="s">
        <v>248</v>
      </c>
    </row>
    <row r="18" spans="1:12">
      <c r="A18" s="27">
        <f t="shared" si="0"/>
        <v>11</v>
      </c>
      <c r="B18" s="27" t="str">
        <f>'Regular Fees '!B37</f>
        <v>Student 31</v>
      </c>
      <c r="C18" s="41">
        <f>'Regular Fees '!D37</f>
        <v>300</v>
      </c>
      <c r="D18" s="61">
        <v>46213</v>
      </c>
      <c r="E18" s="30" t="s">
        <v>199</v>
      </c>
      <c r="F18" s="27" t="str">
        <f>'Regular Fees '!E37</f>
        <v>PAID</v>
      </c>
      <c r="G18" s="27" t="s">
        <v>248</v>
      </c>
    </row>
    <row r="19" spans="1:12">
      <c r="A19" s="27">
        <f t="shared" si="0"/>
        <v>12</v>
      </c>
      <c r="B19" s="27" t="str">
        <f>'Regular Fees '!B38</f>
        <v>Student 32</v>
      </c>
      <c r="C19" s="41">
        <f>'Regular Fees '!D38</f>
        <v>150</v>
      </c>
      <c r="D19" s="62">
        <v>46213</v>
      </c>
      <c r="E19" s="30" t="s">
        <v>199</v>
      </c>
      <c r="F19" s="27" t="str">
        <f>'Regular Fees '!E38</f>
        <v>PAID</v>
      </c>
      <c r="G19" s="27" t="s">
        <v>248</v>
      </c>
    </row>
    <row r="20" spans="1:12">
      <c r="A20" s="27">
        <f t="shared" si="0"/>
        <v>13</v>
      </c>
      <c r="B20" s="27" t="str">
        <f>'Regular Fees '!B39</f>
        <v>Student 33</v>
      </c>
      <c r="C20" s="41">
        <f>'Regular Fees '!D39</f>
        <v>200</v>
      </c>
      <c r="D20" s="61">
        <v>46213</v>
      </c>
      <c r="E20" s="30" t="s">
        <v>199</v>
      </c>
      <c r="F20" s="27" t="str">
        <f>'Regular Fees '!E39</f>
        <v>UNPAID</v>
      </c>
      <c r="G20" s="27" t="s">
        <v>199</v>
      </c>
    </row>
    <row r="21" spans="1:12">
      <c r="A21" s="27">
        <f t="shared" si="0"/>
        <v>14</v>
      </c>
      <c r="B21" s="27" t="str">
        <f>'Regular Fees '!B41</f>
        <v>Student 35</v>
      </c>
      <c r="C21" s="41">
        <f>'Regular Fees '!D41</f>
        <v>900</v>
      </c>
      <c r="D21" s="62">
        <v>46213</v>
      </c>
      <c r="E21" s="30" t="s">
        <v>199</v>
      </c>
      <c r="F21" s="27" t="str">
        <f>'Regular Fees '!E41</f>
        <v>PAID</v>
      </c>
      <c r="G21" s="27" t="s">
        <v>243</v>
      </c>
    </row>
    <row r="22" spans="1:12">
      <c r="A22" s="27">
        <f t="shared" si="0"/>
        <v>15</v>
      </c>
      <c r="B22" s="27"/>
      <c r="C22" s="41"/>
      <c r="D22" s="61"/>
      <c r="E22" s="30"/>
      <c r="F22" s="27"/>
      <c r="G22" s="27"/>
    </row>
    <row r="25" spans="1:12" ht="16.5" thickBot="1"/>
    <row r="26" spans="1:12" ht="21" thickBot="1">
      <c r="A26" s="255" t="s">
        <v>246</v>
      </c>
      <c r="B26" s="256"/>
      <c r="C26" s="256"/>
      <c r="D26" s="256"/>
      <c r="E26" s="256"/>
      <c r="F26" s="256"/>
      <c r="G26" s="257"/>
    </row>
    <row r="28" spans="1:12" ht="16.5" thickBot="1">
      <c r="A28" s="74" t="s">
        <v>20</v>
      </c>
      <c r="B28" s="21" t="s">
        <v>21</v>
      </c>
      <c r="C28" s="75" t="s">
        <v>43</v>
      </c>
      <c r="D28" s="75" t="s">
        <v>239</v>
      </c>
      <c r="E28" s="76" t="s">
        <v>294</v>
      </c>
      <c r="F28" s="21" t="s">
        <v>5</v>
      </c>
      <c r="G28" s="77" t="s">
        <v>242</v>
      </c>
    </row>
    <row r="29" spans="1:12">
      <c r="A29" s="56">
        <f t="shared" ref="A29:A41" si="1">ROW()-28</f>
        <v>1</v>
      </c>
      <c r="B29" s="27" t="str">
        <f>'Regular Fees '!B7</f>
        <v>Student 1</v>
      </c>
      <c r="C29" s="41">
        <f>'Regular Fees '!D7</f>
        <v>200</v>
      </c>
      <c r="D29" s="64">
        <v>46235</v>
      </c>
      <c r="E29" s="127">
        <v>46237</v>
      </c>
      <c r="F29" s="27" t="str">
        <f>'Regular Fees '!F7</f>
        <v>PAID</v>
      </c>
      <c r="G29" s="65" t="s">
        <v>248</v>
      </c>
      <c r="I29" s="258" t="s">
        <v>247</v>
      </c>
      <c r="J29" s="259"/>
      <c r="K29" s="259"/>
      <c r="L29" s="260"/>
    </row>
    <row r="30" spans="1:12" ht="16.5" thickBot="1">
      <c r="A30" s="56">
        <f t="shared" si="1"/>
        <v>2</v>
      </c>
      <c r="B30" s="27" t="str">
        <f>'Regular Fees '!B17</f>
        <v>Student 11</v>
      </c>
      <c r="C30" s="41">
        <f>'Regular Fees '!D17</f>
        <v>800</v>
      </c>
      <c r="D30" s="64">
        <v>46235</v>
      </c>
      <c r="E30" s="66">
        <v>46249</v>
      </c>
      <c r="F30" s="27" t="str">
        <f>'Regular Fees '!F17</f>
        <v>PAID</v>
      </c>
      <c r="G30" s="65" t="s">
        <v>243</v>
      </c>
      <c r="I30" s="261"/>
      <c r="J30" s="262"/>
      <c r="K30" s="262"/>
      <c r="L30" s="263"/>
    </row>
    <row r="31" spans="1:12">
      <c r="A31" s="56">
        <f t="shared" si="1"/>
        <v>3</v>
      </c>
      <c r="B31" s="27" t="str">
        <f>'Regular Fees '!B18</f>
        <v>Student 12</v>
      </c>
      <c r="C31" s="41">
        <f>'Regular Fees '!D18</f>
        <v>500</v>
      </c>
      <c r="D31" s="64">
        <v>46235</v>
      </c>
      <c r="E31" s="66">
        <v>46249</v>
      </c>
      <c r="F31" s="27" t="str">
        <f>'Regular Fees '!F18</f>
        <v>PAID</v>
      </c>
      <c r="G31" s="65" t="s">
        <v>243</v>
      </c>
      <c r="I31" s="264" t="s">
        <v>289</v>
      </c>
      <c r="J31" s="265"/>
      <c r="K31" s="289">
        <f>SUM(Table36[FEES])</f>
        <v>12950</v>
      </c>
      <c r="L31" s="290"/>
    </row>
    <row r="32" spans="1:12">
      <c r="A32" s="56">
        <f t="shared" si="1"/>
        <v>4</v>
      </c>
      <c r="B32" s="27" t="str">
        <f>'Regular Fees '!B20</f>
        <v>Student 14</v>
      </c>
      <c r="C32" s="41">
        <f>'Regular Fees '!D20</f>
        <v>400</v>
      </c>
      <c r="D32" s="64">
        <v>46235</v>
      </c>
      <c r="E32" s="66">
        <v>46238</v>
      </c>
      <c r="F32" s="27" t="str">
        <f>'Regular Fees '!F20</f>
        <v>PAID</v>
      </c>
      <c r="G32" s="65" t="s">
        <v>248</v>
      </c>
      <c r="I32" s="266"/>
      <c r="J32" s="267"/>
      <c r="K32" s="291"/>
      <c r="L32" s="292"/>
    </row>
    <row r="33" spans="1:12">
      <c r="A33" s="56">
        <f t="shared" si="1"/>
        <v>5</v>
      </c>
      <c r="B33" s="27" t="str">
        <f>'Regular Fees '!B21</f>
        <v>Student 15</v>
      </c>
      <c r="C33" s="41">
        <f>'Regular Fees '!D21</f>
        <v>300</v>
      </c>
      <c r="D33" s="64">
        <v>46235</v>
      </c>
      <c r="E33" s="66">
        <v>46238</v>
      </c>
      <c r="F33" s="27" t="str">
        <f>'Regular Fees '!F21</f>
        <v>PAID</v>
      </c>
      <c r="G33" s="65" t="s">
        <v>248</v>
      </c>
      <c r="I33" s="279" t="s">
        <v>325</v>
      </c>
      <c r="J33" s="280"/>
      <c r="K33" s="285">
        <f>SUMIF(Table36[STATUS],"PAID",Table36[FEES])</f>
        <v>12250</v>
      </c>
      <c r="L33" s="286"/>
    </row>
    <row r="34" spans="1:12">
      <c r="A34" s="56">
        <f t="shared" si="1"/>
        <v>6</v>
      </c>
      <c r="B34" s="27" t="str">
        <f>'Regular Fees '!B23</f>
        <v>Student 17</v>
      </c>
      <c r="C34" s="41">
        <f>'Regular Fees '!D23</f>
        <v>300</v>
      </c>
      <c r="D34" s="64">
        <v>46235</v>
      </c>
      <c r="E34" s="66">
        <v>46241</v>
      </c>
      <c r="F34" s="27" t="str">
        <f>'Regular Fees '!F23</f>
        <v>PAID</v>
      </c>
      <c r="G34" s="65" t="s">
        <v>248</v>
      </c>
      <c r="I34" s="266"/>
      <c r="J34" s="267"/>
      <c r="K34" s="287"/>
      <c r="L34" s="288"/>
    </row>
    <row r="35" spans="1:12">
      <c r="A35" s="56">
        <f t="shared" si="1"/>
        <v>7</v>
      </c>
      <c r="B35" s="27" t="str">
        <f>'Regular Fees '!B24</f>
        <v>Student 18</v>
      </c>
      <c r="C35" s="41">
        <f>'Regular Fees '!D24</f>
        <v>350</v>
      </c>
      <c r="D35" s="64">
        <v>46235</v>
      </c>
      <c r="E35" s="66">
        <v>46245</v>
      </c>
      <c r="F35" s="27" t="str">
        <f>'Regular Fees '!F24</f>
        <v>PAID</v>
      </c>
      <c r="G35" s="65" t="s">
        <v>243</v>
      </c>
      <c r="I35" s="279" t="s">
        <v>326</v>
      </c>
      <c r="J35" s="280"/>
      <c r="K35" s="281">
        <f>SUMIF(Table36[STATUS],"UNPAID",Table36[FEES])</f>
        <v>700</v>
      </c>
      <c r="L35" s="282"/>
    </row>
    <row r="36" spans="1:12">
      <c r="A36" s="56">
        <f t="shared" si="1"/>
        <v>8</v>
      </c>
      <c r="B36" s="27" t="str">
        <f>'Regular Fees '!B25</f>
        <v>Student 19</v>
      </c>
      <c r="C36" s="41">
        <f>'Regular Fees '!D25</f>
        <v>250</v>
      </c>
      <c r="D36" s="64">
        <v>46235</v>
      </c>
      <c r="E36" s="66">
        <v>46238</v>
      </c>
      <c r="F36" s="27" t="str">
        <f>'Regular Fees '!F25</f>
        <v>PAID</v>
      </c>
      <c r="G36" s="65" t="s">
        <v>248</v>
      </c>
      <c r="I36" s="266"/>
      <c r="J36" s="267"/>
      <c r="K36" s="283"/>
      <c r="L36" s="284"/>
    </row>
    <row r="37" spans="1:12">
      <c r="A37" s="56">
        <f t="shared" si="1"/>
        <v>9</v>
      </c>
      <c r="B37" s="27" t="str">
        <f>'Regular Fees '!B26</f>
        <v>Student 20</v>
      </c>
      <c r="C37" s="41">
        <f>'Regular Fees '!D26</f>
        <v>300</v>
      </c>
      <c r="D37" s="64">
        <v>46235</v>
      </c>
      <c r="E37" s="66">
        <v>46183</v>
      </c>
      <c r="F37" s="27" t="str">
        <f>'Regular Fees '!F26</f>
        <v>PAID</v>
      </c>
      <c r="G37" s="65" t="s">
        <v>248</v>
      </c>
    </row>
    <row r="38" spans="1:12">
      <c r="A38" s="56">
        <f t="shared" si="1"/>
        <v>10</v>
      </c>
      <c r="B38" s="27" t="str">
        <f>'Regular Fees '!B28</f>
        <v>Student 22</v>
      </c>
      <c r="C38" s="41">
        <f>'Regular Fees '!D28</f>
        <v>250</v>
      </c>
      <c r="D38" s="64">
        <v>46235</v>
      </c>
      <c r="E38" s="66"/>
      <c r="F38" s="27" t="str">
        <f>'Regular Fees '!F28</f>
        <v>UNPAID</v>
      </c>
      <c r="G38" s="65" t="s">
        <v>199</v>
      </c>
    </row>
    <row r="39" spans="1:12">
      <c r="A39" s="56">
        <f t="shared" si="1"/>
        <v>11</v>
      </c>
      <c r="B39" s="27" t="str">
        <f>'Regular Fees '!B29</f>
        <v>Student 23</v>
      </c>
      <c r="C39" s="41">
        <f>'Regular Fees '!D29</f>
        <v>250</v>
      </c>
      <c r="D39" s="64">
        <v>46244</v>
      </c>
      <c r="E39" s="66">
        <v>46245</v>
      </c>
      <c r="F39" s="27" t="str">
        <f>'Regular Fees '!F29</f>
        <v>PAID</v>
      </c>
      <c r="G39" s="65" t="s">
        <v>248</v>
      </c>
    </row>
    <row r="40" spans="1:12">
      <c r="A40" s="56">
        <f t="shared" si="1"/>
        <v>12</v>
      </c>
      <c r="B40" s="27" t="str">
        <f>'Regular Fees '!B30</f>
        <v>Student 24</v>
      </c>
      <c r="C40" s="41">
        <f>'Regular Fees '!D30</f>
        <v>200</v>
      </c>
      <c r="D40" s="64">
        <v>46235</v>
      </c>
      <c r="E40" s="66">
        <v>46239</v>
      </c>
      <c r="F40" s="27" t="str">
        <f>'Regular Fees '!F30</f>
        <v>PAID</v>
      </c>
      <c r="G40" s="65" t="s">
        <v>248</v>
      </c>
    </row>
    <row r="41" spans="1:12">
      <c r="A41" s="58">
        <f t="shared" si="1"/>
        <v>13</v>
      </c>
      <c r="B41" s="49" t="str">
        <f>'Regular Fees '!B33</f>
        <v>Student 27</v>
      </c>
      <c r="C41" s="67">
        <f>'Regular Fees '!D33</f>
        <v>300</v>
      </c>
      <c r="D41" s="68">
        <v>46244</v>
      </c>
      <c r="E41" s="66">
        <v>46245</v>
      </c>
      <c r="F41" s="49" t="str">
        <f>'Regular Fees '!F33</f>
        <v>PAID</v>
      </c>
      <c r="G41" s="65" t="s">
        <v>248</v>
      </c>
    </row>
    <row r="42" spans="1:12">
      <c r="A42" s="56">
        <f t="shared" ref="A42:A44" si="2">ROW()-28</f>
        <v>14</v>
      </c>
      <c r="B42" s="27" t="str">
        <f>'Regular Fees '!B37</f>
        <v>Student 31</v>
      </c>
      <c r="C42" s="41">
        <f>'Regular Fees '!D37</f>
        <v>300</v>
      </c>
      <c r="D42" s="64">
        <v>46244</v>
      </c>
      <c r="E42" s="66">
        <v>46245</v>
      </c>
      <c r="F42" s="27" t="str">
        <f>'Regular Fees '!F37</f>
        <v>PAID</v>
      </c>
      <c r="G42" s="65" t="s">
        <v>248</v>
      </c>
    </row>
    <row r="43" spans="1:12">
      <c r="A43" s="56">
        <f t="shared" si="2"/>
        <v>15</v>
      </c>
      <c r="B43" s="49" t="str">
        <f>'Regular Fees '!B38</f>
        <v>Student 32</v>
      </c>
      <c r="C43" s="67">
        <f>'Regular Fees '!D38</f>
        <v>150</v>
      </c>
      <c r="D43" s="68">
        <v>46244</v>
      </c>
      <c r="E43" s="66">
        <v>46245</v>
      </c>
      <c r="F43" s="49" t="str">
        <f>'Regular Fees '!F38</f>
        <v>PAID</v>
      </c>
      <c r="G43" s="65" t="s">
        <v>248</v>
      </c>
    </row>
    <row r="44" spans="1:12">
      <c r="A44" s="58">
        <f t="shared" si="2"/>
        <v>16</v>
      </c>
      <c r="B44" s="27" t="str">
        <f>'Regular Fees '!B41</f>
        <v>Student 35</v>
      </c>
      <c r="C44" s="41">
        <f>'Regular Fees '!D41</f>
        <v>900</v>
      </c>
      <c r="D44" s="64">
        <v>46244</v>
      </c>
      <c r="E44" s="66">
        <v>46245</v>
      </c>
      <c r="F44" s="27" t="str">
        <f>'Regular Fees '!F41</f>
        <v>PAID</v>
      </c>
      <c r="G44" s="65" t="s">
        <v>243</v>
      </c>
    </row>
    <row r="45" spans="1:12">
      <c r="A45" s="56">
        <f t="shared" ref="A45:A57" si="3">ROW()-28</f>
        <v>17</v>
      </c>
      <c r="B45" s="27" t="str">
        <f>'Regular Fees '!B42</f>
        <v>Student 36</v>
      </c>
      <c r="C45" s="41">
        <f>'Regular Fees '!D42</f>
        <v>250</v>
      </c>
      <c r="D45" s="64">
        <v>46235</v>
      </c>
      <c r="E45" s="66"/>
      <c r="F45" s="27" t="str">
        <f>'Regular Fees '!F42</f>
        <v>UNPAID</v>
      </c>
      <c r="G45" s="65" t="s">
        <v>199</v>
      </c>
    </row>
    <row r="46" spans="1:12">
      <c r="A46" s="56">
        <f t="shared" si="3"/>
        <v>18</v>
      </c>
      <c r="B46" s="27" t="str">
        <f>'Regular Fees '!B43</f>
        <v>Student 37</v>
      </c>
      <c r="C46" s="41">
        <f>'Regular Fees '!D43</f>
        <v>200</v>
      </c>
      <c r="D46" s="64">
        <v>46235</v>
      </c>
      <c r="E46" s="66"/>
      <c r="F46" s="27" t="str">
        <f>'Regular Fees '!F43</f>
        <v>UNPAID</v>
      </c>
      <c r="G46" s="65" t="s">
        <v>199</v>
      </c>
    </row>
    <row r="47" spans="1:12">
      <c r="A47" s="56">
        <f t="shared" si="3"/>
        <v>19</v>
      </c>
      <c r="B47" s="27" t="str">
        <f>'Regular Fees '!B44</f>
        <v>Student 38</v>
      </c>
      <c r="C47" s="41">
        <f>'Regular Fees '!D44</f>
        <v>250</v>
      </c>
      <c r="D47" s="64">
        <v>46235</v>
      </c>
      <c r="E47" s="66">
        <v>46239</v>
      </c>
      <c r="F47" s="27" t="str">
        <f>'Regular Fees '!F44</f>
        <v>PAID</v>
      </c>
      <c r="G47" s="65" t="s">
        <v>243</v>
      </c>
    </row>
    <row r="48" spans="1:12">
      <c r="A48" s="56">
        <f t="shared" si="3"/>
        <v>20</v>
      </c>
      <c r="B48" s="27" t="str">
        <f>'Regular Fees '!B45</f>
        <v>Student 39</v>
      </c>
      <c r="C48" s="41">
        <f>'Regular Fees '!D45</f>
        <v>200</v>
      </c>
      <c r="D48" s="64">
        <v>46235</v>
      </c>
      <c r="E48" s="66">
        <v>46239</v>
      </c>
      <c r="F48" s="27" t="str">
        <f>'Regular Fees '!F45</f>
        <v>PAID</v>
      </c>
      <c r="G48" s="65" t="s">
        <v>243</v>
      </c>
    </row>
    <row r="49" spans="1:7">
      <c r="A49" s="56">
        <f t="shared" si="3"/>
        <v>21</v>
      </c>
      <c r="B49" s="27" t="str">
        <f>'Regular Fees '!B46</f>
        <v>Student 40</v>
      </c>
      <c r="C49" s="41">
        <f>'Regular Fees '!D46</f>
        <v>500</v>
      </c>
      <c r="D49" s="64">
        <v>46235</v>
      </c>
      <c r="E49" s="66">
        <v>46236</v>
      </c>
      <c r="F49" s="27" t="str">
        <f>'Regular Fees '!F46</f>
        <v>PAID</v>
      </c>
      <c r="G49" s="65" t="s">
        <v>248</v>
      </c>
    </row>
    <row r="50" spans="1:7">
      <c r="A50" s="56">
        <f t="shared" si="3"/>
        <v>22</v>
      </c>
      <c r="B50" s="27" t="str">
        <f>'Regular Fees '!B47</f>
        <v>Student 41</v>
      </c>
      <c r="C50" s="41">
        <f>'Regular Fees '!D47</f>
        <v>400</v>
      </c>
      <c r="D50" s="64">
        <v>46235</v>
      </c>
      <c r="E50" s="66">
        <v>46236</v>
      </c>
      <c r="F50" s="27" t="str">
        <f>'Regular Fees '!F47</f>
        <v>PAID</v>
      </c>
      <c r="G50" s="65" t="s">
        <v>248</v>
      </c>
    </row>
    <row r="51" spans="1:7">
      <c r="A51" s="56">
        <f t="shared" si="3"/>
        <v>23</v>
      </c>
      <c r="B51" s="27" t="str">
        <f>'Regular Fees '!B50</f>
        <v>Student 44</v>
      </c>
      <c r="C51" s="41">
        <f>'Regular Fees '!D50</f>
        <v>350</v>
      </c>
      <c r="D51" s="64">
        <v>46235</v>
      </c>
      <c r="E51" s="66">
        <v>46235</v>
      </c>
      <c r="F51" s="27" t="str">
        <f>'Regular Fees '!F50</f>
        <v>PAID</v>
      </c>
      <c r="G51" s="65" t="s">
        <v>248</v>
      </c>
    </row>
    <row r="52" spans="1:7">
      <c r="A52" s="56">
        <f t="shared" si="3"/>
        <v>24</v>
      </c>
      <c r="B52" s="27" t="str">
        <f>'Regular Fees '!B51</f>
        <v>Student 45</v>
      </c>
      <c r="C52" s="41">
        <f>'Regular Fees '!D51</f>
        <v>200</v>
      </c>
      <c r="D52" s="64">
        <v>46235</v>
      </c>
      <c r="E52" s="66">
        <v>46235</v>
      </c>
      <c r="F52" s="27" t="str">
        <f>'Regular Fees '!F51</f>
        <v>PAID</v>
      </c>
      <c r="G52" s="65" t="s">
        <v>248</v>
      </c>
    </row>
    <row r="53" spans="1:7">
      <c r="A53" s="56">
        <f t="shared" si="3"/>
        <v>25</v>
      </c>
      <c r="B53" s="27" t="str">
        <f>'Regular Fees '!B52</f>
        <v>Student 46</v>
      </c>
      <c r="C53" s="41">
        <f>'Regular Fees '!D52</f>
        <v>500</v>
      </c>
      <c r="D53" s="64">
        <v>46235</v>
      </c>
      <c r="E53" s="66">
        <v>46234</v>
      </c>
      <c r="F53" s="27" t="str">
        <f>'Regular Fees '!F52</f>
        <v>PAID</v>
      </c>
      <c r="G53" s="65" t="s">
        <v>248</v>
      </c>
    </row>
    <row r="54" spans="1:7">
      <c r="A54" s="56">
        <f t="shared" si="3"/>
        <v>26</v>
      </c>
      <c r="B54" s="49" t="str">
        <f>'Regular Fees '!B53</f>
        <v>Student 47</v>
      </c>
      <c r="C54" s="41">
        <f>'Regular Fees '!D53</f>
        <v>300</v>
      </c>
      <c r="D54" s="64">
        <v>46235</v>
      </c>
      <c r="E54" s="66">
        <v>46237</v>
      </c>
      <c r="F54" s="27" t="str">
        <f>'Regular Fees '!F53</f>
        <v>PAID</v>
      </c>
      <c r="G54" s="65" t="s">
        <v>248</v>
      </c>
    </row>
    <row r="55" spans="1:7">
      <c r="A55" s="56">
        <f t="shared" si="3"/>
        <v>27</v>
      </c>
      <c r="B55" s="27" t="str">
        <f>'Regular Fees '!B54</f>
        <v>Student 48</v>
      </c>
      <c r="C55" s="41">
        <f>'Regular Fees '!D54</f>
        <v>500</v>
      </c>
      <c r="D55" s="64">
        <v>46235</v>
      </c>
      <c r="E55" s="66">
        <v>46237</v>
      </c>
      <c r="F55" s="27" t="str">
        <f>'Regular Fees '!F54</f>
        <v>PAID</v>
      </c>
      <c r="G55" s="65" t="s">
        <v>248</v>
      </c>
    </row>
    <row r="56" spans="1:7">
      <c r="A56" s="56">
        <f t="shared" si="3"/>
        <v>28</v>
      </c>
      <c r="B56" s="27" t="str">
        <f>'Regular Fees '!B55</f>
        <v>Student 49</v>
      </c>
      <c r="C56" s="67">
        <f>'Regular Fees '!D55</f>
        <v>800</v>
      </c>
      <c r="D56" s="64">
        <v>46235</v>
      </c>
      <c r="E56" s="66">
        <v>46234</v>
      </c>
      <c r="F56" s="27" t="str">
        <f>'Regular Fees '!F55</f>
        <v>PAID</v>
      </c>
      <c r="G56" s="65" t="s">
        <v>248</v>
      </c>
    </row>
    <row r="57" spans="1:7">
      <c r="A57" s="58">
        <f t="shared" si="3"/>
        <v>29</v>
      </c>
      <c r="B57" s="49" t="str">
        <f>'Regular Fees '!B56</f>
        <v>Student 50</v>
      </c>
      <c r="C57" s="67">
        <f>'Regular Fees '!D56</f>
        <v>400</v>
      </c>
      <c r="D57" s="64">
        <v>46235</v>
      </c>
      <c r="E57" s="66">
        <v>46241</v>
      </c>
      <c r="F57" s="27" t="str">
        <f>'Regular Fees '!F56</f>
        <v>PAID</v>
      </c>
      <c r="G57" s="65" t="s">
        <v>248</v>
      </c>
    </row>
    <row r="58" spans="1:7">
      <c r="A58" s="58">
        <f>ROW()-28</f>
        <v>30</v>
      </c>
      <c r="B58" s="27" t="str">
        <f>'Regular Fees '!B57</f>
        <v>Student 51</v>
      </c>
      <c r="C58" s="41">
        <f>'Regular Fees '!D57</f>
        <v>400</v>
      </c>
      <c r="D58" s="64">
        <v>46235</v>
      </c>
      <c r="E58" s="66">
        <v>46243</v>
      </c>
      <c r="F58" s="27" t="str">
        <f>'Regular Fees '!F57</f>
        <v>PAID</v>
      </c>
      <c r="G58" s="65" t="s">
        <v>248</v>
      </c>
    </row>
    <row r="59" spans="1:7">
      <c r="A59" s="56">
        <f t="shared" ref="A59:A60" si="4">ROW()-28</f>
        <v>31</v>
      </c>
      <c r="B59" s="49" t="str">
        <f>'Regular Fees '!B59</f>
        <v>Student 53</v>
      </c>
      <c r="C59" s="67">
        <f>'Regular Fees '!D59</f>
        <v>500</v>
      </c>
      <c r="D59" s="64">
        <v>46244</v>
      </c>
      <c r="E59" s="66">
        <v>46246</v>
      </c>
      <c r="F59" s="27" t="str">
        <f>'Regular Fees '!F59</f>
        <v>PAID</v>
      </c>
      <c r="G59" s="65" t="s">
        <v>248</v>
      </c>
    </row>
    <row r="60" spans="1:7">
      <c r="A60" s="58">
        <f t="shared" si="4"/>
        <v>32</v>
      </c>
      <c r="B60" s="27" t="str">
        <f>'Regular Fees '!B60</f>
        <v>Student 54</v>
      </c>
      <c r="C60" s="41">
        <f>'Regular Fees '!D60</f>
        <v>400</v>
      </c>
      <c r="D60" s="64">
        <v>46244</v>
      </c>
      <c r="E60" s="66">
        <v>46246</v>
      </c>
      <c r="F60" s="27" t="str">
        <f>'Regular Fees '!F60</f>
        <v>PAID</v>
      </c>
      <c r="G60" s="65" t="s">
        <v>248</v>
      </c>
    </row>
    <row r="61" spans="1:7">
      <c r="A61" s="56">
        <f t="shared" ref="A61:A64" si="5">ROW()-28</f>
        <v>33</v>
      </c>
      <c r="B61" s="27" t="str">
        <f>'Regular Fees '!B61</f>
        <v>Student 55</v>
      </c>
      <c r="C61" s="41">
        <f>'Regular Fees '!D61</f>
        <v>300</v>
      </c>
      <c r="D61" s="64">
        <v>46244</v>
      </c>
      <c r="E61" s="66">
        <v>46245</v>
      </c>
      <c r="F61" s="27" t="str">
        <f>'Regular Fees '!F61</f>
        <v>PAID</v>
      </c>
      <c r="G61" s="65" t="s">
        <v>248</v>
      </c>
    </row>
    <row r="62" spans="1:7">
      <c r="A62" s="56">
        <f t="shared" si="5"/>
        <v>34</v>
      </c>
      <c r="B62" s="27" t="str">
        <f>'Regular Fees '!B62</f>
        <v>Student 56</v>
      </c>
      <c r="C62" s="41">
        <f>'Regular Fees '!D62</f>
        <v>200</v>
      </c>
      <c r="D62" s="64">
        <v>46244</v>
      </c>
      <c r="E62" s="66">
        <v>46245</v>
      </c>
      <c r="F62" s="27" t="str">
        <f>'Regular Fees '!F62</f>
        <v>PAID</v>
      </c>
      <c r="G62" s="65" t="s">
        <v>248</v>
      </c>
    </row>
    <row r="63" spans="1:7">
      <c r="A63" s="56">
        <f t="shared" si="5"/>
        <v>35</v>
      </c>
      <c r="B63" s="27" t="str">
        <f>'Regular Fees '!B34</f>
        <v>Student 28</v>
      </c>
      <c r="C63" s="41">
        <f>'Regular Fees '!D34</f>
        <v>350</v>
      </c>
      <c r="D63" s="64">
        <v>46235</v>
      </c>
      <c r="E63" s="66">
        <v>46243</v>
      </c>
      <c r="F63" s="27" t="str">
        <f>'Regular Fees '!F34</f>
        <v>PAID</v>
      </c>
      <c r="G63" s="65" t="s">
        <v>248</v>
      </c>
    </row>
    <row r="64" spans="1:7">
      <c r="A64" s="58">
        <f t="shared" si="5"/>
        <v>36</v>
      </c>
      <c r="B64" s="27" t="str">
        <f>'Regular Fees '!B35</f>
        <v>Student 29</v>
      </c>
      <c r="C64" s="41">
        <f>'Regular Fees '!D35</f>
        <v>200</v>
      </c>
      <c r="D64" s="64">
        <v>46235</v>
      </c>
      <c r="E64" s="66">
        <v>46243</v>
      </c>
      <c r="F64" s="27" t="str">
        <f>'Regular Fees '!F35</f>
        <v>PAID</v>
      </c>
      <c r="G64" s="65" t="s">
        <v>248</v>
      </c>
    </row>
    <row r="65" spans="1:12">
      <c r="A65" s="58">
        <f t="shared" ref="A65" si="6">ROW()-28</f>
        <v>37</v>
      </c>
      <c r="B65" s="49"/>
      <c r="C65" s="67"/>
      <c r="D65" s="49"/>
      <c r="E65" s="69"/>
      <c r="F65" s="49"/>
      <c r="G65" s="70"/>
    </row>
    <row r="66" spans="1:12">
      <c r="C66" s="31"/>
      <c r="E66" s="66"/>
    </row>
    <row r="67" spans="1:12">
      <c r="C67" s="31"/>
      <c r="E67" s="66"/>
    </row>
    <row r="68" spans="1:12" ht="16.5" thickBot="1">
      <c r="C68" s="31"/>
      <c r="E68" s="66"/>
    </row>
    <row r="69" spans="1:12" ht="21" thickBot="1">
      <c r="A69" s="255" t="s">
        <v>366</v>
      </c>
      <c r="B69" s="256"/>
      <c r="C69" s="256"/>
      <c r="D69" s="256"/>
      <c r="E69" s="256"/>
      <c r="F69" s="256"/>
      <c r="G69" s="257"/>
    </row>
    <row r="71" spans="1:12">
      <c r="A71" s="74" t="s">
        <v>20</v>
      </c>
      <c r="B71" s="21" t="s">
        <v>21</v>
      </c>
      <c r="C71" s="75" t="s">
        <v>43</v>
      </c>
      <c r="D71" s="75" t="s">
        <v>239</v>
      </c>
      <c r="E71" s="76" t="s">
        <v>294</v>
      </c>
      <c r="F71" s="21" t="s">
        <v>5</v>
      </c>
      <c r="G71" s="77" t="s">
        <v>242</v>
      </c>
    </row>
    <row r="72" spans="1:12" ht="16.5" thickBot="1">
      <c r="A72" s="126">
        <f t="shared" ref="A72:A93" si="7">ROW()-71</f>
        <v>1</v>
      </c>
      <c r="B72" s="27" t="str">
        <f>'Regular Fees '!B7</f>
        <v>Student 1</v>
      </c>
      <c r="C72" s="41">
        <f>IF(COUNTIF('Regular Fees '!$B:$B,$B$72)=0,"",SUMIF('Regular Fees '!$B:$B,B72,'Regular Fees '!$D:$D))</f>
        <v>200</v>
      </c>
      <c r="D72" s="64">
        <v>46266</v>
      </c>
      <c r="E72" s="127"/>
      <c r="F72" s="27">
        <f>IFERROR('Regular Fees '!G7," ")</f>
        <v>0</v>
      </c>
      <c r="G72" s="65" t="s">
        <v>199</v>
      </c>
    </row>
    <row r="73" spans="1:12">
      <c r="A73" s="126">
        <f t="shared" si="7"/>
        <v>2</v>
      </c>
      <c r="B73" s="27" t="str">
        <f>'Regular Fees '!B17</f>
        <v>Student 11</v>
      </c>
      <c r="C73" s="41">
        <f>IF(COUNTIF('Regular Fees '!$B:$B,$B$72)=0,"",SUMIF('Regular Fees '!$B:$B,B73,'Regular Fees '!$D:$D))</f>
        <v>800</v>
      </c>
      <c r="D73" s="64">
        <v>46266</v>
      </c>
      <c r="E73" s="66"/>
      <c r="F73" s="27">
        <f>'Regular Fees '!G17</f>
        <v>0</v>
      </c>
      <c r="G73" s="65" t="s">
        <v>199</v>
      </c>
      <c r="I73" s="258" t="s">
        <v>367</v>
      </c>
      <c r="J73" s="259"/>
      <c r="K73" s="259"/>
      <c r="L73" s="260"/>
    </row>
    <row r="74" spans="1:12" ht="16.5" thickBot="1">
      <c r="A74" s="126">
        <f t="shared" si="7"/>
        <v>3</v>
      </c>
      <c r="B74" s="27" t="str">
        <f>'Regular Fees '!B18</f>
        <v>Student 12</v>
      </c>
      <c r="C74" s="41">
        <f>IF(COUNTIF('Regular Fees '!$B:$B,$B$72)=0,"",SUMIF('Regular Fees '!$B:$B,B74,'Regular Fees '!$D:$D))</f>
        <v>500</v>
      </c>
      <c r="D74" s="64">
        <v>46266</v>
      </c>
      <c r="E74" s="66"/>
      <c r="F74" s="27">
        <f>'Regular Fees '!G18</f>
        <v>0</v>
      </c>
      <c r="G74" s="65" t="s">
        <v>199</v>
      </c>
      <c r="I74" s="261"/>
      <c r="J74" s="262"/>
      <c r="K74" s="262"/>
      <c r="L74" s="263"/>
    </row>
    <row r="75" spans="1:12">
      <c r="A75" s="126">
        <f t="shared" si="7"/>
        <v>4</v>
      </c>
      <c r="B75" s="27" t="str">
        <f>'Regular Fees '!B20</f>
        <v>Student 14</v>
      </c>
      <c r="C75" s="41">
        <f>IF(COUNTIF('Regular Fees '!$B:$B,$B$72)=0,"",SUMIF('Regular Fees '!$B:$B,B75,'Regular Fees '!$D:$D))</f>
        <v>400</v>
      </c>
      <c r="D75" s="64">
        <v>46266</v>
      </c>
      <c r="E75" s="66"/>
      <c r="F75" s="27">
        <f>'Regular Fees '!G20</f>
        <v>0</v>
      </c>
      <c r="G75" s="65" t="s">
        <v>199</v>
      </c>
      <c r="I75" s="264" t="s">
        <v>289</v>
      </c>
      <c r="J75" s="265"/>
      <c r="K75" s="289">
        <f>SUM(Table3612[FEES])</f>
        <v>13700</v>
      </c>
      <c r="L75" s="290"/>
    </row>
    <row r="76" spans="1:12">
      <c r="A76" s="126">
        <f t="shared" si="7"/>
        <v>5</v>
      </c>
      <c r="B76" s="49" t="str">
        <f>'Regular Fees '!B21</f>
        <v>Student 15</v>
      </c>
      <c r="C76" s="41">
        <f>IF(COUNTIF('Regular Fees '!$B:$B,$B$72)=0,"",SUMIF('Regular Fees '!$B:$B,B76,'Regular Fees '!$D:$D))</f>
        <v>300</v>
      </c>
      <c r="D76" s="64">
        <v>46266</v>
      </c>
      <c r="E76" s="66"/>
      <c r="F76" s="27">
        <f>'Regular Fees '!G21</f>
        <v>0</v>
      </c>
      <c r="G76" s="65" t="s">
        <v>199</v>
      </c>
      <c r="I76" s="266"/>
      <c r="J76" s="267"/>
      <c r="K76" s="291"/>
      <c r="L76" s="292"/>
    </row>
    <row r="77" spans="1:12">
      <c r="A77" s="126">
        <f t="shared" si="7"/>
        <v>6</v>
      </c>
      <c r="B77" s="27" t="str">
        <f>'Regular Fees '!B23</f>
        <v>Student 17</v>
      </c>
      <c r="C77" s="41">
        <f>IF(COUNTIF('Regular Fees '!$B:$B,$B$72)=0,"",SUMIF('Regular Fees '!$B:$B,B77,'Regular Fees '!$D:$D))</f>
        <v>300</v>
      </c>
      <c r="D77" s="64">
        <v>46266</v>
      </c>
      <c r="E77" s="66"/>
      <c r="F77" s="27">
        <f>'Regular Fees '!G23</f>
        <v>0</v>
      </c>
      <c r="G77" s="65" t="s">
        <v>199</v>
      </c>
      <c r="I77" s="279" t="s">
        <v>325</v>
      </c>
      <c r="J77" s="280"/>
      <c r="K77" s="285">
        <f>SUMIF(Table3612[STATUS],"PAID",Table3612[FEES])</f>
        <v>0</v>
      </c>
      <c r="L77" s="286"/>
    </row>
    <row r="78" spans="1:12">
      <c r="A78" s="126">
        <f t="shared" si="7"/>
        <v>7</v>
      </c>
      <c r="B78" s="27" t="str">
        <f>'Regular Fees '!B24</f>
        <v>Student 18</v>
      </c>
      <c r="C78" s="41">
        <f>IF(COUNTIF('Regular Fees '!$B:$B,$B$72)=0,"",SUMIF('Regular Fees '!$B:$B,B78,'Regular Fees '!$D:$D))</f>
        <v>350</v>
      </c>
      <c r="D78" s="64">
        <v>46266</v>
      </c>
      <c r="E78" s="66"/>
      <c r="F78" s="27">
        <f>'Regular Fees '!G24</f>
        <v>0</v>
      </c>
      <c r="G78" s="65" t="s">
        <v>199</v>
      </c>
      <c r="I78" s="266"/>
      <c r="J78" s="267"/>
      <c r="K78" s="287"/>
      <c r="L78" s="288"/>
    </row>
    <row r="79" spans="1:12">
      <c r="A79" s="126">
        <f t="shared" si="7"/>
        <v>8</v>
      </c>
      <c r="B79" s="27" t="str">
        <f>'Regular Fees '!B25</f>
        <v>Student 19</v>
      </c>
      <c r="C79" s="41">
        <f>IF(COUNTIF('Regular Fees '!$B:$B,$B$72)=0,"",SUMIF('Regular Fees '!$B:$B,B79,'Regular Fees '!$D:$D))</f>
        <v>250</v>
      </c>
      <c r="D79" s="64">
        <v>46266</v>
      </c>
      <c r="E79" s="66"/>
      <c r="F79" s="27">
        <f>'Regular Fees '!G25</f>
        <v>0</v>
      </c>
      <c r="G79" s="65" t="s">
        <v>199</v>
      </c>
      <c r="I79" s="279" t="s">
        <v>326</v>
      </c>
      <c r="J79" s="280"/>
      <c r="K79" s="281">
        <f>SUMIF(Table3612[STATUS],"UNPAID",Table3612[FEES])</f>
        <v>0</v>
      </c>
      <c r="L79" s="282"/>
    </row>
    <row r="80" spans="1:12">
      <c r="A80" s="126">
        <f t="shared" si="7"/>
        <v>9</v>
      </c>
      <c r="B80" s="27" t="str">
        <f>'Regular Fees '!B26</f>
        <v>Student 20</v>
      </c>
      <c r="C80" s="41">
        <f>IF(COUNTIF('Regular Fees '!$B:$B,$B$72)=0,"",SUMIF('Regular Fees '!$B:$B,B80,'Regular Fees '!$D:$D))</f>
        <v>300</v>
      </c>
      <c r="D80" s="64">
        <v>46266</v>
      </c>
      <c r="E80" s="66"/>
      <c r="F80" s="27">
        <f>'Regular Fees '!G26</f>
        <v>0</v>
      </c>
      <c r="G80" s="65" t="s">
        <v>199</v>
      </c>
      <c r="I80" s="266"/>
      <c r="J80" s="267"/>
      <c r="K80" s="283"/>
      <c r="L80" s="284"/>
    </row>
    <row r="81" spans="1:7">
      <c r="A81" s="126">
        <f t="shared" si="7"/>
        <v>10</v>
      </c>
      <c r="B81" s="27" t="str">
        <f>'Regular Fees '!B29</f>
        <v>Student 23</v>
      </c>
      <c r="C81" s="41">
        <f>IF(COUNTIF('Regular Fees '!$B:$B,$B$72)=0,"",SUMIF('Regular Fees '!$B:$B,B81,'Regular Fees '!$D:$D))</f>
        <v>250</v>
      </c>
      <c r="D81" s="64">
        <v>46275</v>
      </c>
      <c r="E81" s="66"/>
      <c r="F81" s="27">
        <f>'Regular Fees '!G29</f>
        <v>0</v>
      </c>
      <c r="G81" s="65" t="s">
        <v>199</v>
      </c>
    </row>
    <row r="82" spans="1:7">
      <c r="A82" s="126">
        <f t="shared" si="7"/>
        <v>11</v>
      </c>
      <c r="B82" s="27" t="str">
        <f>'Regular Fees '!B30</f>
        <v>Student 24</v>
      </c>
      <c r="C82" s="41">
        <f>IF(COUNTIF('Regular Fees '!$B:$B,$B$72)=0,"",SUMIF('Regular Fees '!$B:$B,B82,'Regular Fees '!$D:$D))</f>
        <v>200</v>
      </c>
      <c r="D82" s="64">
        <v>46266</v>
      </c>
      <c r="E82" s="66"/>
      <c r="F82" s="27">
        <f>'Regular Fees '!G30</f>
        <v>0</v>
      </c>
      <c r="G82" s="65" t="s">
        <v>199</v>
      </c>
    </row>
    <row r="83" spans="1:7">
      <c r="A83" s="126">
        <f t="shared" si="7"/>
        <v>12</v>
      </c>
      <c r="B83" s="27" t="str">
        <f>'Regular Fees '!B33</f>
        <v>Student 27</v>
      </c>
      <c r="C83" s="41">
        <f>IF(COUNTIF('Regular Fees '!$B:$B,$B$72)=0,"",SUMIF('Regular Fees '!$B:$B,B83,'Regular Fees '!$D:$D))</f>
        <v>300</v>
      </c>
      <c r="D83" s="64">
        <v>46275</v>
      </c>
      <c r="E83" s="66"/>
      <c r="F83" s="27">
        <f>'Regular Fees '!G33</f>
        <v>0</v>
      </c>
      <c r="G83" s="65" t="s">
        <v>199</v>
      </c>
    </row>
    <row r="84" spans="1:7">
      <c r="A84" s="126">
        <f t="shared" si="7"/>
        <v>13</v>
      </c>
      <c r="B84" s="27" t="str">
        <f>'Regular Fees '!B34</f>
        <v>Student 28</v>
      </c>
      <c r="C84" s="41">
        <f>IF(COUNTIF('Regular Fees '!$B:$B,$B$72)=0,"",SUMIF('Regular Fees '!$B:$B,B84,'Regular Fees '!$D:$D))</f>
        <v>350</v>
      </c>
      <c r="D84" s="64">
        <v>46266</v>
      </c>
      <c r="E84" s="66"/>
      <c r="F84" s="27">
        <f>'Regular Fees '!G34</f>
        <v>0</v>
      </c>
      <c r="G84" s="65" t="s">
        <v>199</v>
      </c>
    </row>
    <row r="85" spans="1:7">
      <c r="A85" s="126">
        <f t="shared" si="7"/>
        <v>14</v>
      </c>
      <c r="B85" s="49" t="str">
        <f>'Regular Fees '!B35</f>
        <v>Student 29</v>
      </c>
      <c r="C85" s="41">
        <f>IF(COUNTIF('Regular Fees '!$B:$B,$B$72)=0,"",SUMIF('Regular Fees '!$B:$B,B85,'Regular Fees '!$D:$D))</f>
        <v>200</v>
      </c>
      <c r="D85" s="64">
        <v>46266</v>
      </c>
      <c r="E85" s="66"/>
      <c r="F85" s="27">
        <f>'Regular Fees '!G35</f>
        <v>0</v>
      </c>
      <c r="G85" s="65" t="s">
        <v>199</v>
      </c>
    </row>
    <row r="86" spans="1:7">
      <c r="A86" s="126">
        <f t="shared" si="7"/>
        <v>15</v>
      </c>
      <c r="B86" s="27" t="str">
        <f>'Regular Fees '!B37</f>
        <v>Student 31</v>
      </c>
      <c r="C86" s="41">
        <f>IF(COUNTIF('Regular Fees '!$B:$B,$B$72)=0,"",SUMIF('Regular Fees '!$B:$B,B86,'Regular Fees '!$D:$D))</f>
        <v>300</v>
      </c>
      <c r="D86" s="64">
        <v>46275</v>
      </c>
      <c r="E86" s="66"/>
      <c r="F86" s="27">
        <f>'Regular Fees '!G37</f>
        <v>0</v>
      </c>
      <c r="G86" s="65" t="s">
        <v>199</v>
      </c>
    </row>
    <row r="87" spans="1:7">
      <c r="A87" s="126">
        <f t="shared" si="7"/>
        <v>16</v>
      </c>
      <c r="B87" s="49" t="str">
        <f>'Regular Fees '!B38</f>
        <v>Student 32</v>
      </c>
      <c r="C87" s="41">
        <f>IF(COUNTIF('Regular Fees '!$B:$B,$B$72)=0,"",SUMIF('Regular Fees '!$B:$B,B87,'Regular Fees '!$D:$D))</f>
        <v>150</v>
      </c>
      <c r="D87" s="64">
        <v>46275</v>
      </c>
      <c r="E87" s="66"/>
      <c r="F87" s="27">
        <f>'Regular Fees '!G38</f>
        <v>0</v>
      </c>
      <c r="G87" s="65" t="s">
        <v>199</v>
      </c>
    </row>
    <row r="88" spans="1:7">
      <c r="A88" s="126">
        <f t="shared" si="7"/>
        <v>17</v>
      </c>
      <c r="B88" s="27" t="str">
        <f>'Regular Fees '!B41</f>
        <v>Student 35</v>
      </c>
      <c r="C88" s="41">
        <f>IF(COUNTIF('Regular Fees '!$B:$B,$B$72)=0,"",SUMIF('Regular Fees '!$B:$B,B88,'Regular Fees '!$D:$D))</f>
        <v>900</v>
      </c>
      <c r="D88" s="64">
        <v>46275</v>
      </c>
      <c r="E88" s="66"/>
      <c r="F88" s="27">
        <f>'Regular Fees '!G41</f>
        <v>0</v>
      </c>
      <c r="G88" s="65" t="s">
        <v>199</v>
      </c>
    </row>
    <row r="89" spans="1:7">
      <c r="A89" s="126">
        <f t="shared" si="7"/>
        <v>18</v>
      </c>
      <c r="B89" s="27" t="str">
        <f>'Regular Fees '!B42</f>
        <v>Student 36</v>
      </c>
      <c r="C89" s="41">
        <f>IF(COUNTIF('Regular Fees '!$B:$B,$B$72)=0,"",SUMIF('Regular Fees '!$B:$B,B89,'Regular Fees '!$D:$D))</f>
        <v>250</v>
      </c>
      <c r="D89" s="64">
        <v>46266</v>
      </c>
      <c r="E89" s="30"/>
      <c r="F89" s="27">
        <f>'Regular Fees '!G42</f>
        <v>0</v>
      </c>
      <c r="G89" s="65" t="s">
        <v>199</v>
      </c>
    </row>
    <row r="90" spans="1:7">
      <c r="A90" s="126">
        <f t="shared" si="7"/>
        <v>19</v>
      </c>
      <c r="B90" s="27" t="str">
        <f>'Regular Fees '!B43</f>
        <v>Student 37</v>
      </c>
      <c r="C90" s="41">
        <f>IF(COUNTIF('Regular Fees '!$B:$B,$B$72)=0,"",SUMIF('Regular Fees '!$B:$B,B90,'Regular Fees '!$D:$D))</f>
        <v>200</v>
      </c>
      <c r="D90" s="64">
        <v>46266</v>
      </c>
      <c r="E90" s="30"/>
      <c r="F90" s="27">
        <f>'Regular Fees '!G43</f>
        <v>0</v>
      </c>
      <c r="G90" s="65" t="s">
        <v>199</v>
      </c>
    </row>
    <row r="91" spans="1:7">
      <c r="A91" s="126">
        <f t="shared" si="7"/>
        <v>20</v>
      </c>
      <c r="B91" s="49" t="str">
        <f>'Regular Fees '!B44</f>
        <v>Student 38</v>
      </c>
      <c r="C91" s="41">
        <f>IF(COUNTIF('Regular Fees '!$B:$B,$B$72)=0,"",SUMIF('Regular Fees '!$B:$B,B91,'Regular Fees '!$D:$D))</f>
        <v>250</v>
      </c>
      <c r="D91" s="64">
        <v>46266</v>
      </c>
      <c r="E91" s="69"/>
      <c r="F91" s="27">
        <f>'Regular Fees '!G44</f>
        <v>0</v>
      </c>
      <c r="G91" s="65" t="s">
        <v>199</v>
      </c>
    </row>
    <row r="92" spans="1:7">
      <c r="A92" s="126">
        <f t="shared" si="7"/>
        <v>21</v>
      </c>
      <c r="B92" s="27" t="str">
        <f>'Regular Fees '!B45</f>
        <v>Student 39</v>
      </c>
      <c r="C92" s="41">
        <f>IF(COUNTIF('Regular Fees '!$B:$B,$B$72)=0,"",SUMIF('Regular Fees '!$B:$B,B92,'Regular Fees '!$D:$D))</f>
        <v>200</v>
      </c>
      <c r="D92" s="64">
        <v>46266</v>
      </c>
      <c r="E92" s="30"/>
      <c r="F92" s="27">
        <f>'Regular Fees '!G45</f>
        <v>0</v>
      </c>
      <c r="G92" s="65" t="s">
        <v>199</v>
      </c>
    </row>
    <row r="93" spans="1:7">
      <c r="A93" s="126">
        <f t="shared" si="7"/>
        <v>22</v>
      </c>
      <c r="B93" s="49" t="str">
        <f>'Regular Fees '!B46</f>
        <v>Student 40</v>
      </c>
      <c r="C93" s="41">
        <f>IF(COUNTIF('Regular Fees '!$B:$B,$B$72)=0,"",SUMIF('Regular Fees '!$B:$B,B93,'Regular Fees '!$D:$D))</f>
        <v>500</v>
      </c>
      <c r="D93" s="64">
        <v>46266</v>
      </c>
      <c r="E93" s="69"/>
      <c r="F93" s="27">
        <f>'Regular Fees '!G46</f>
        <v>0</v>
      </c>
      <c r="G93" s="65" t="s">
        <v>199</v>
      </c>
    </row>
    <row r="94" spans="1:7">
      <c r="A94" s="56">
        <f t="shared" ref="A94:A98" si="8">ROW()-71</f>
        <v>23</v>
      </c>
      <c r="B94" s="27" t="str">
        <f>'Regular Fees '!B47</f>
        <v>Student 41</v>
      </c>
      <c r="C94" s="41">
        <f>IF(COUNTIF('Regular Fees '!$B:$B,$B$72)=0,"",SUMIF('Regular Fees '!$B:$B,B94,'Regular Fees '!$D:$D))</f>
        <v>400</v>
      </c>
      <c r="D94" s="64">
        <v>46266</v>
      </c>
      <c r="E94" s="30"/>
      <c r="F94" s="27">
        <f>'Regular Fees '!G47</f>
        <v>0</v>
      </c>
      <c r="G94" s="65" t="s">
        <v>199</v>
      </c>
    </row>
    <row r="95" spans="1:7">
      <c r="A95" s="56">
        <f t="shared" si="8"/>
        <v>24</v>
      </c>
      <c r="B95" s="27" t="str">
        <f>'Regular Fees '!B50</f>
        <v>Student 44</v>
      </c>
      <c r="C95" s="41">
        <f>IF(COUNTIF('Regular Fees '!$B:$B,$B$72)=0,"",SUMIF('Regular Fees '!$B:$B,B95,'Regular Fees '!$D:$D))</f>
        <v>350</v>
      </c>
      <c r="D95" s="64">
        <v>46266</v>
      </c>
      <c r="E95" s="30"/>
      <c r="F95" s="27">
        <f>'Regular Fees '!G50</f>
        <v>0</v>
      </c>
      <c r="G95" s="65" t="s">
        <v>199</v>
      </c>
    </row>
    <row r="96" spans="1:7">
      <c r="A96" s="56">
        <f t="shared" si="8"/>
        <v>25</v>
      </c>
      <c r="B96" s="27" t="str">
        <f>'Regular Fees '!B51</f>
        <v>Student 45</v>
      </c>
      <c r="C96" s="41">
        <f>IF(COUNTIF('Regular Fees '!$B:$B,$B$72)=0,"",SUMIF('Regular Fees '!$B:$B,B96,'Regular Fees '!$D:$D))</f>
        <v>200</v>
      </c>
      <c r="D96" s="64">
        <v>46266</v>
      </c>
      <c r="E96" s="30"/>
      <c r="F96" s="27">
        <f>'Regular Fees '!G51</f>
        <v>0</v>
      </c>
      <c r="G96" s="65" t="s">
        <v>199</v>
      </c>
    </row>
    <row r="97" spans="1:7">
      <c r="A97" s="56">
        <f t="shared" si="8"/>
        <v>26</v>
      </c>
      <c r="B97" s="27" t="str">
        <f>'Regular Fees '!B52</f>
        <v>Student 46</v>
      </c>
      <c r="C97" s="41">
        <f>IF(COUNTIF('Regular Fees '!$B:$B,$B$72)=0,"",SUMIF('Regular Fees '!$B:$B,B97,'Regular Fees '!$D:$D))</f>
        <v>500</v>
      </c>
      <c r="D97" s="64">
        <v>46266</v>
      </c>
      <c r="E97" s="30"/>
      <c r="F97" s="27">
        <f>'Regular Fees '!G52</f>
        <v>0</v>
      </c>
      <c r="G97" s="65" t="s">
        <v>199</v>
      </c>
    </row>
    <row r="98" spans="1:7">
      <c r="A98" s="58">
        <f t="shared" si="8"/>
        <v>27</v>
      </c>
      <c r="B98" s="49" t="str">
        <f>'Regular Fees '!B53</f>
        <v>Student 47</v>
      </c>
      <c r="C98" s="41">
        <f>IF(COUNTIF('Regular Fees '!$B:$B,$B$72)=0,"",SUMIF('Regular Fees '!$B:$B,B98,'Regular Fees '!$D:$D))</f>
        <v>300</v>
      </c>
      <c r="D98" s="64">
        <v>46266</v>
      </c>
      <c r="E98" s="69"/>
      <c r="F98" s="27">
        <f>'Regular Fees '!G53</f>
        <v>0</v>
      </c>
      <c r="G98" s="65" t="s">
        <v>199</v>
      </c>
    </row>
    <row r="99" spans="1:7">
      <c r="A99" s="56">
        <f t="shared" ref="A99:A101" si="9">ROW()-71</f>
        <v>28</v>
      </c>
      <c r="B99" s="27" t="str">
        <f>'Regular Fees '!B54</f>
        <v>Student 48</v>
      </c>
      <c r="C99" s="41">
        <f>IF(COUNTIF('Regular Fees '!$B:$B,$B$72)=0,"",SUMIF('Regular Fees '!$B:$B,B99,'Regular Fees '!$D:$D))</f>
        <v>500</v>
      </c>
      <c r="D99" s="64">
        <v>46266</v>
      </c>
      <c r="E99" s="30"/>
      <c r="F99" s="27">
        <f>'Regular Fees '!G54</f>
        <v>0</v>
      </c>
      <c r="G99" s="65" t="s">
        <v>199</v>
      </c>
    </row>
    <row r="100" spans="1:7">
      <c r="A100" s="56">
        <f t="shared" si="9"/>
        <v>29</v>
      </c>
      <c r="B100" s="27" t="str">
        <f>'Regular Fees '!B56</f>
        <v>Student 50</v>
      </c>
      <c r="C100" s="41">
        <f>IF(COUNTIF('Regular Fees '!$B:$B,$B$72)=0,"",SUMIF('Regular Fees '!$B:$B,B100,'Regular Fees '!$D:$D))</f>
        <v>400</v>
      </c>
      <c r="D100" s="64">
        <v>46266</v>
      </c>
      <c r="E100" s="30"/>
      <c r="F100" s="27">
        <f>'Regular Fees '!G56</f>
        <v>0</v>
      </c>
      <c r="G100" s="65" t="s">
        <v>199</v>
      </c>
    </row>
    <row r="101" spans="1:7">
      <c r="A101" s="56">
        <f t="shared" si="9"/>
        <v>30</v>
      </c>
      <c r="B101" s="27" t="str">
        <f>'Regular Fees '!B57</f>
        <v>Student 51</v>
      </c>
      <c r="C101" s="41">
        <f>IF(COUNTIF('Regular Fees '!$B:$B,$B$72)=0,"",SUMIF('Regular Fees '!$B:$B,B101,'Regular Fees '!$D:$D))</f>
        <v>400</v>
      </c>
      <c r="D101" s="64">
        <v>46266</v>
      </c>
      <c r="E101" s="30"/>
      <c r="F101" s="27">
        <f>'Regular Fees '!G57</f>
        <v>0</v>
      </c>
      <c r="G101" s="65" t="s">
        <v>199</v>
      </c>
    </row>
    <row r="102" spans="1:7">
      <c r="A102" s="56">
        <f t="shared" ref="A102:A108" si="10">ROW()-71</f>
        <v>31</v>
      </c>
      <c r="B102" s="27" t="str">
        <f>'Regular Fees '!B59</f>
        <v>Student 53</v>
      </c>
      <c r="C102" s="41">
        <f>IF(COUNTIF('Regular Fees '!$B:$B,$B$72)=0,"",SUMIF('Regular Fees '!$B:$B,B102,'Regular Fees '!$D:$D))</f>
        <v>500</v>
      </c>
      <c r="D102" s="64">
        <v>46275</v>
      </c>
      <c r="E102" s="30"/>
      <c r="F102" s="27">
        <f>'Regular Fees '!G59</f>
        <v>0</v>
      </c>
      <c r="G102" s="65" t="s">
        <v>199</v>
      </c>
    </row>
    <row r="103" spans="1:7">
      <c r="A103" s="56">
        <f t="shared" si="10"/>
        <v>32</v>
      </c>
      <c r="B103" s="27" t="str">
        <f>'Regular Fees '!B60</f>
        <v>Student 54</v>
      </c>
      <c r="C103" s="41">
        <f>IF(COUNTIF('Regular Fees '!$B:$B,$B$72)=0,"",SUMIF('Regular Fees '!$B:$B,B103,'Regular Fees '!$D:$D))</f>
        <v>400</v>
      </c>
      <c r="D103" s="64">
        <v>46275</v>
      </c>
      <c r="E103" s="30"/>
      <c r="F103" s="27">
        <f>'Regular Fees '!G60</f>
        <v>0</v>
      </c>
      <c r="G103" s="65" t="s">
        <v>199</v>
      </c>
    </row>
    <row r="104" spans="1:7">
      <c r="A104" s="56">
        <f t="shared" si="10"/>
        <v>33</v>
      </c>
      <c r="B104" s="27" t="str">
        <f>'Regular Fees '!B61</f>
        <v>Student 55</v>
      </c>
      <c r="C104" s="41">
        <f>IF(COUNTIF('Regular Fees '!$B:$B,$B$72)=0,"",SUMIF('Regular Fees '!$B:$B,B104,'Regular Fees '!$D:$D))</f>
        <v>300</v>
      </c>
      <c r="D104" s="64">
        <v>46275</v>
      </c>
      <c r="E104" s="30"/>
      <c r="F104" s="27">
        <f>'Regular Fees '!G61</f>
        <v>0</v>
      </c>
      <c r="G104" s="65" t="s">
        <v>199</v>
      </c>
    </row>
    <row r="105" spans="1:7">
      <c r="A105" s="56">
        <f t="shared" si="10"/>
        <v>34</v>
      </c>
      <c r="B105" s="27" t="str">
        <f>'Regular Fees '!B62</f>
        <v>Student 56</v>
      </c>
      <c r="C105" s="41">
        <f>IF(COUNTIF('Regular Fees '!$B:$B,$B$72)=0,"",SUMIF('Regular Fees '!$B:$B,B105,'Regular Fees '!$D:$D))</f>
        <v>200</v>
      </c>
      <c r="D105" s="64">
        <v>46275</v>
      </c>
      <c r="E105" s="30"/>
      <c r="F105" s="27">
        <f>'Regular Fees '!G62</f>
        <v>0</v>
      </c>
      <c r="G105" s="65" t="s">
        <v>199</v>
      </c>
    </row>
    <row r="106" spans="1:7">
      <c r="A106" s="56">
        <f t="shared" si="10"/>
        <v>35</v>
      </c>
      <c r="B106" s="27" t="str">
        <f>'Regular Fees '!B63</f>
        <v>Student 57</v>
      </c>
      <c r="C106" s="41">
        <f>IF(COUNTIF('Regular Fees '!$B:$B,$B$72)=0,"",SUMIF('Regular Fees '!$B:$B,B106,'Regular Fees '!$D:$D))</f>
        <v>550</v>
      </c>
      <c r="D106" s="64">
        <v>46266</v>
      </c>
      <c r="E106" s="30"/>
      <c r="F106" s="27">
        <f>'Regular Fees '!G63</f>
        <v>0</v>
      </c>
      <c r="G106" s="65" t="s">
        <v>199</v>
      </c>
    </row>
    <row r="107" spans="1:7">
      <c r="A107" s="56">
        <f t="shared" si="10"/>
        <v>36</v>
      </c>
      <c r="B107" s="27" t="str">
        <f>'Regular Fees '!B64</f>
        <v>Student 58</v>
      </c>
      <c r="C107" s="41">
        <f>IF(COUNTIF('Regular Fees '!$B:$B,$B$72)=0,"",SUMIF('Regular Fees '!$B:$B,B107,'Regular Fees '!$D:$D))</f>
        <v>250</v>
      </c>
      <c r="D107" s="64">
        <v>46266</v>
      </c>
      <c r="E107" s="30"/>
      <c r="F107" s="27">
        <f>'Regular Fees '!G64</f>
        <v>0</v>
      </c>
      <c r="G107" s="65" t="s">
        <v>199</v>
      </c>
    </row>
    <row r="108" spans="1:7">
      <c r="A108" s="58">
        <f t="shared" si="10"/>
        <v>37</v>
      </c>
      <c r="B108" s="49" t="str">
        <f>'Regular Fees '!B65</f>
        <v>Student 59</v>
      </c>
      <c r="C108" s="41">
        <f>IF(COUNTIF('Regular Fees '!$B:$B,$B$72)=0,"",SUMIF('Regular Fees '!$B:$B,B108,'Regular Fees '!$D:$D))</f>
        <v>350</v>
      </c>
      <c r="D108" s="64">
        <v>46266</v>
      </c>
      <c r="E108" s="69"/>
      <c r="F108" s="27">
        <f>'Regular Fees '!G65</f>
        <v>0</v>
      </c>
      <c r="G108" s="65" t="s">
        <v>199</v>
      </c>
    </row>
    <row r="109" spans="1:7">
      <c r="A109" s="58">
        <f>ROW()-71</f>
        <v>38</v>
      </c>
      <c r="B109" s="49" t="str">
        <f>'Regular Fees '!B66</f>
        <v>Student 60</v>
      </c>
      <c r="C109" s="41">
        <f>IF(COUNTIF('Regular Fees '!$B:$B,$B$72)=0,"",SUMIF('Regular Fees '!$B:$B,B109,'Regular Fees '!$D:$D))</f>
        <v>200</v>
      </c>
      <c r="D109" s="64">
        <v>46266</v>
      </c>
      <c r="E109" s="69"/>
      <c r="F109" s="27">
        <f>'Regular Fees '!G66</f>
        <v>0</v>
      </c>
      <c r="G109" s="65" t="s">
        <v>199</v>
      </c>
    </row>
    <row r="110" spans="1:7">
      <c r="A110" s="58">
        <f>ROW()-71</f>
        <v>39</v>
      </c>
      <c r="B110" s="49" t="str">
        <f>'Regular Fees '!B67</f>
        <v>Student 61</v>
      </c>
      <c r="C110" s="41">
        <f>IF(COUNTIF('Regular Fees '!$B:$B,$B$72)=0,"",SUMIF('Regular Fees '!$B:$B,B110,'Regular Fees '!$D:$D))</f>
        <v>250</v>
      </c>
      <c r="D110" s="64">
        <v>46266</v>
      </c>
      <c r="E110" s="69"/>
      <c r="F110" s="27">
        <f>'Regular Fees '!G67</f>
        <v>0</v>
      </c>
      <c r="G110" s="65" t="s">
        <v>199</v>
      </c>
    </row>
    <row r="111" spans="1:7">
      <c r="A111" s="56">
        <f t="shared" ref="A111" si="11">ROW()-71</f>
        <v>40</v>
      </c>
      <c r="B111" s="27" t="str">
        <f>'Regular Fees '!B68</f>
        <v>Student 62</v>
      </c>
      <c r="C111" s="41">
        <f>IF(COUNTIF('Regular Fees '!$B:$B,$B$72)=0,"",SUMIF('Regular Fees '!$B:$B,B111,'Regular Fees '!$D:$D))</f>
        <v>200</v>
      </c>
      <c r="D111" s="64">
        <v>46266</v>
      </c>
      <c r="E111" s="30"/>
      <c r="F111" s="27">
        <f>'Regular Fees '!G68</f>
        <v>0</v>
      </c>
      <c r="G111" s="65" t="s">
        <v>199</v>
      </c>
    </row>
    <row r="112" spans="1:7">
      <c r="A112" s="58"/>
      <c r="B112" s="49"/>
      <c r="C112" s="41"/>
      <c r="D112" s="49"/>
      <c r="E112" s="69"/>
      <c r="F112" s="27"/>
      <c r="G112" s="65"/>
    </row>
  </sheetData>
  <mergeCells count="25">
    <mergeCell ref="I77:J78"/>
    <mergeCell ref="K77:L78"/>
    <mergeCell ref="I79:J80"/>
    <mergeCell ref="K79:L80"/>
    <mergeCell ref="I31:J32"/>
    <mergeCell ref="K31:L32"/>
    <mergeCell ref="I33:J34"/>
    <mergeCell ref="K33:L34"/>
    <mergeCell ref="K75:L76"/>
    <mergeCell ref="A1:Q3"/>
    <mergeCell ref="A69:G69"/>
    <mergeCell ref="I73:L74"/>
    <mergeCell ref="I75:J76"/>
    <mergeCell ref="I12:J13"/>
    <mergeCell ref="I14:J15"/>
    <mergeCell ref="K10:L11"/>
    <mergeCell ref="K12:L13"/>
    <mergeCell ref="K14:L15"/>
    <mergeCell ref="I8:L9"/>
    <mergeCell ref="I10:J11"/>
    <mergeCell ref="A5:G5"/>
    <mergeCell ref="A26:G26"/>
    <mergeCell ref="I35:J36"/>
    <mergeCell ref="K35:L36"/>
    <mergeCell ref="I29:L30"/>
  </mergeCells>
  <phoneticPr fontId="4" type="noConversion"/>
  <conditionalFormatting sqref="F8:F21 F29:F64 F72:F112">
    <cfRule type="beginsWith" dxfId="242" priority="7" operator="beginsWith" text="UNPAID">
      <formula>LEFT(F8,LEN("UNPAID"))="UNPAID"</formula>
    </cfRule>
    <cfRule type="beginsWith" dxfId="241" priority="8" operator="beginsWith" text="PAID">
      <formula>LEFT(F8,LEN("PAID"))="PAID"</formula>
    </cfRule>
  </conditionalFormatting>
  <dataValidations count="4">
    <dataValidation type="list" allowBlank="1" showInputMessage="1" showErrorMessage="1" sqref="G8:G21 G29:G64 G72:G112" xr:uid="{BC367243-2C3E-4122-B1E2-E57A31442EA0}">
      <formula1>"-,UPI , CASH "</formula1>
    </dataValidation>
    <dataValidation type="list" allowBlank="1" showInputMessage="1" showErrorMessage="1" sqref="D8:D21" xr:uid="{4E144800-FF29-42B3-9C7B-08DE003FAC01}">
      <formula1>"01-Jul, 10-Jul, 15-Jul, 20-Jul"</formula1>
    </dataValidation>
    <dataValidation type="list" allowBlank="1" showInputMessage="1" showErrorMessage="1" sqref="D29:D64" xr:uid="{3C2232B2-458C-42CA-B1BD-408226A3E010}">
      <formula1>"01-Aug, 10-Aug, 15-Aug, 20-Aug"</formula1>
    </dataValidation>
    <dataValidation type="list" allowBlank="1" showInputMessage="1" showErrorMessage="1" sqref="D72:D112" xr:uid="{6B17C6D4-CBC0-460D-B1C8-2CFA2939775C}">
      <formula1>"01-Sep, 10-Sep, 15-Sep, 20-Sep"</formula1>
    </dataValidation>
  </dataValidations>
  <pageMargins left="0.7" right="0.7" top="0.75" bottom="0.75" header="0.3" footer="0.3"/>
  <pageSetup scale="26" orientation="portrait" r:id="rId1"/>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254EF-876C-4226-8260-C17F1F21FCC6}">
  <sheetPr codeName="Sheet7">
    <tabColor rgb="FF002060"/>
    <pageSetUpPr fitToPage="1"/>
  </sheetPr>
  <dimension ref="A1:Z60"/>
  <sheetViews>
    <sheetView zoomScale="85" zoomScaleNormal="85" workbookViewId="0">
      <selection activeCell="C45" sqref="C45:C46"/>
    </sheetView>
  </sheetViews>
  <sheetFormatPr defaultColWidth="9.140625" defaultRowHeight="15.75"/>
  <cols>
    <col min="1" max="1" width="2.7109375" style="9" customWidth="1"/>
    <col min="2" max="2" width="9.28515625" style="9" bestFit="1" customWidth="1"/>
    <col min="3" max="3" width="13.140625" style="9" bestFit="1" customWidth="1"/>
    <col min="4" max="4" width="18.42578125" style="9" bestFit="1" customWidth="1"/>
    <col min="5" max="5" width="2.42578125" style="9" customWidth="1"/>
    <col min="6" max="6" width="2.140625" style="9" customWidth="1"/>
    <col min="7" max="7" width="14.7109375" style="9" bestFit="1" customWidth="1"/>
    <col min="8" max="8" width="15.7109375" style="9" bestFit="1" customWidth="1"/>
    <col min="9" max="9" width="19.85546875" style="9" bestFit="1" customWidth="1"/>
    <col min="10" max="10" width="14.140625" style="9" bestFit="1" customWidth="1"/>
    <col min="11" max="11" width="13.5703125" style="9" bestFit="1" customWidth="1"/>
    <col min="12" max="12" width="19.140625" style="9" bestFit="1" customWidth="1"/>
    <col min="13" max="13" width="10.5703125" style="9" bestFit="1" customWidth="1"/>
    <col min="14" max="14" width="20.85546875" style="9" bestFit="1" customWidth="1"/>
    <col min="15" max="15" width="20.140625" style="9" bestFit="1" customWidth="1"/>
    <col min="16" max="16384" width="9.140625" style="9"/>
  </cols>
  <sheetData>
    <row r="1" spans="1:26" ht="15.75" customHeight="1">
      <c r="A1" s="249" t="s">
        <v>214</v>
      </c>
      <c r="B1" s="250"/>
      <c r="C1" s="250"/>
      <c r="D1" s="250"/>
      <c r="E1" s="250"/>
      <c r="F1" s="250"/>
      <c r="G1" s="250"/>
      <c r="H1" s="250"/>
      <c r="I1" s="250"/>
      <c r="J1" s="250"/>
      <c r="K1" s="250"/>
      <c r="L1" s="250"/>
      <c r="M1" s="250"/>
      <c r="N1" s="250"/>
      <c r="O1" s="250"/>
      <c r="P1" s="250"/>
      <c r="Q1" s="250"/>
      <c r="R1" s="48"/>
      <c r="S1" s="48"/>
      <c r="T1" s="48"/>
      <c r="U1" s="48"/>
      <c r="V1" s="48"/>
      <c r="W1" s="48"/>
      <c r="X1" s="48"/>
      <c r="Y1" s="48"/>
      <c r="Z1" s="48"/>
    </row>
    <row r="2" spans="1:26" ht="15.75" customHeight="1">
      <c r="A2" s="249"/>
      <c r="B2" s="250"/>
      <c r="C2" s="250"/>
      <c r="D2" s="250"/>
      <c r="E2" s="250"/>
      <c r="F2" s="250"/>
      <c r="G2" s="250"/>
      <c r="H2" s="250"/>
      <c r="I2" s="250"/>
      <c r="J2" s="250"/>
      <c r="K2" s="250"/>
      <c r="L2" s="250"/>
      <c r="M2" s="250"/>
      <c r="N2" s="250"/>
      <c r="O2" s="250"/>
      <c r="P2" s="250"/>
      <c r="Q2" s="250"/>
      <c r="R2" s="48"/>
      <c r="S2" s="48"/>
      <c r="T2" s="48"/>
      <c r="U2" s="48"/>
      <c r="V2" s="48"/>
      <c r="W2" s="48"/>
      <c r="X2" s="48"/>
      <c r="Y2" s="48"/>
      <c r="Z2" s="48"/>
    </row>
    <row r="3" spans="1:26" ht="15.75" customHeight="1">
      <c r="A3" s="249"/>
      <c r="B3" s="250"/>
      <c r="C3" s="250"/>
      <c r="D3" s="250"/>
      <c r="E3" s="250"/>
      <c r="F3" s="250"/>
      <c r="G3" s="250"/>
      <c r="H3" s="250"/>
      <c r="I3" s="250"/>
      <c r="J3" s="250"/>
      <c r="K3" s="250"/>
      <c r="L3" s="250"/>
      <c r="M3" s="250"/>
      <c r="N3" s="250"/>
      <c r="O3" s="250"/>
      <c r="P3" s="250"/>
      <c r="Q3" s="250"/>
      <c r="R3" s="48"/>
      <c r="S3" s="48"/>
      <c r="T3" s="48"/>
      <c r="U3" s="48"/>
      <c r="V3" s="48"/>
      <c r="W3" s="48"/>
      <c r="X3" s="48"/>
      <c r="Y3" s="48"/>
      <c r="Z3" s="48"/>
    </row>
    <row r="4" spans="1:26" ht="16.5" thickBot="1"/>
    <row r="5" spans="1:26" ht="16.5" thickBot="1">
      <c r="B5" s="295" t="s">
        <v>215</v>
      </c>
      <c r="C5" s="296"/>
      <c r="D5" s="297"/>
      <c r="G5" s="298" t="s">
        <v>222</v>
      </c>
      <c r="H5" s="299"/>
      <c r="I5" s="299"/>
      <c r="J5" s="299"/>
      <c r="K5" s="299"/>
      <c r="L5" s="299"/>
      <c r="M5" s="299"/>
      <c r="N5" s="300"/>
    </row>
    <row r="6" spans="1:26">
      <c r="B6" s="21" t="s">
        <v>20</v>
      </c>
      <c r="C6" s="21" t="s">
        <v>21</v>
      </c>
      <c r="D6" s="21" t="s">
        <v>23</v>
      </c>
      <c r="G6" s="21" t="s">
        <v>219</v>
      </c>
      <c r="H6" s="21" t="s">
        <v>221</v>
      </c>
      <c r="I6" s="21" t="s">
        <v>220</v>
      </c>
      <c r="J6" s="21" t="s">
        <v>40</v>
      </c>
      <c r="K6" s="21" t="s">
        <v>269</v>
      </c>
      <c r="L6" s="21" t="s">
        <v>270</v>
      </c>
      <c r="M6" s="21" t="s">
        <v>5</v>
      </c>
      <c r="N6" s="21" t="s">
        <v>242</v>
      </c>
    </row>
    <row r="7" spans="1:26">
      <c r="B7" s="16">
        <v>1</v>
      </c>
      <c r="C7" s="16" t="str">
        <f>"Student "&amp;(ROW()-7)</f>
        <v>Student 0</v>
      </c>
      <c r="D7" s="80">
        <f>'All Names'!E13</f>
        <v>900</v>
      </c>
      <c r="G7" s="16">
        <v>1</v>
      </c>
      <c r="H7" s="82">
        <f>D12</f>
        <v>2550</v>
      </c>
      <c r="I7" s="18">
        <v>11</v>
      </c>
      <c r="J7" s="82">
        <f t="shared" ref="J7:J10" si="0">H7*I7</f>
        <v>28050</v>
      </c>
      <c r="K7" s="82">
        <v>50</v>
      </c>
      <c r="L7" s="82">
        <f>J7-K7</f>
        <v>28000</v>
      </c>
      <c r="M7" s="27" t="s">
        <v>236</v>
      </c>
      <c r="N7" s="27" t="s">
        <v>199</v>
      </c>
    </row>
    <row r="8" spans="1:26">
      <c r="B8" s="16">
        <v>2</v>
      </c>
      <c r="C8" s="16" t="str">
        <f t="shared" ref="C8:C11" si="1">"Student "&amp;(ROW()-7)</f>
        <v>Student 1</v>
      </c>
      <c r="D8" s="80">
        <f>'All Names'!E12</f>
        <v>800</v>
      </c>
      <c r="G8" s="16">
        <v>2</v>
      </c>
      <c r="H8" s="82">
        <f>D19</f>
        <v>500</v>
      </c>
      <c r="I8" s="18">
        <v>11</v>
      </c>
      <c r="J8" s="82">
        <f t="shared" si="0"/>
        <v>5500</v>
      </c>
      <c r="K8" s="82">
        <v>0</v>
      </c>
      <c r="L8" s="82">
        <f t="shared" ref="L8:L10" si="2">J8-K8</f>
        <v>5500</v>
      </c>
      <c r="M8" s="27" t="s">
        <v>236</v>
      </c>
      <c r="N8" s="27" t="s">
        <v>199</v>
      </c>
    </row>
    <row r="9" spans="1:26">
      <c r="B9" s="16">
        <v>3</v>
      </c>
      <c r="C9" s="16" t="str">
        <f t="shared" si="1"/>
        <v>Student 2</v>
      </c>
      <c r="D9" s="80">
        <f>'All Names'!E14</f>
        <v>600</v>
      </c>
      <c r="G9" s="16">
        <v>3</v>
      </c>
      <c r="H9" s="82">
        <f>D25</f>
        <v>1200</v>
      </c>
      <c r="I9" s="18">
        <v>10</v>
      </c>
      <c r="J9" s="82">
        <f t="shared" si="0"/>
        <v>12000</v>
      </c>
      <c r="K9" s="82">
        <v>0</v>
      </c>
      <c r="L9" s="82">
        <f t="shared" si="2"/>
        <v>12000</v>
      </c>
      <c r="M9" s="27" t="s">
        <v>236</v>
      </c>
      <c r="N9" s="27" t="s">
        <v>199</v>
      </c>
    </row>
    <row r="10" spans="1:26">
      <c r="B10" s="16">
        <v>4</v>
      </c>
      <c r="C10" s="16" t="str">
        <f t="shared" si="1"/>
        <v>Student 3</v>
      </c>
      <c r="D10" s="80">
        <f>'All Names'!E15</f>
        <v>250</v>
      </c>
      <c r="G10" s="79">
        <v>4</v>
      </c>
      <c r="H10" s="83">
        <f>D33</f>
        <v>800</v>
      </c>
      <c r="I10" s="84">
        <v>11</v>
      </c>
      <c r="J10" s="83">
        <f t="shared" si="0"/>
        <v>8800</v>
      </c>
      <c r="K10" s="83">
        <v>0</v>
      </c>
      <c r="L10" s="83">
        <f t="shared" si="2"/>
        <v>8800</v>
      </c>
      <c r="M10" s="49" t="s">
        <v>236</v>
      </c>
      <c r="N10" s="49" t="s">
        <v>199</v>
      </c>
    </row>
    <row r="11" spans="1:26">
      <c r="B11" s="79">
        <v>5</v>
      </c>
      <c r="C11" s="16" t="str">
        <f t="shared" si="1"/>
        <v>Student 4</v>
      </c>
      <c r="D11" s="80">
        <v>0</v>
      </c>
      <c r="G11" s="16">
        <v>5</v>
      </c>
      <c r="H11" s="82">
        <f>D40</f>
        <v>350</v>
      </c>
      <c r="I11" s="18">
        <v>11</v>
      </c>
      <c r="J11" s="82">
        <f>H11*I11</f>
        <v>3850</v>
      </c>
      <c r="K11" s="82">
        <v>150</v>
      </c>
      <c r="L11" s="82">
        <f>J11-K11</f>
        <v>3700</v>
      </c>
      <c r="M11" s="27" t="s">
        <v>236</v>
      </c>
      <c r="N11" s="27" t="s">
        <v>199</v>
      </c>
    </row>
    <row r="12" spans="1:26">
      <c r="B12" s="293" t="s">
        <v>18</v>
      </c>
      <c r="C12" s="294"/>
      <c r="D12" s="109">
        <f>SUM(D7:D11)</f>
        <v>2550</v>
      </c>
      <c r="G12" s="16">
        <v>6</v>
      </c>
      <c r="H12" s="82">
        <f>D47</f>
        <v>500</v>
      </c>
      <c r="I12" s="18">
        <v>10</v>
      </c>
      <c r="J12" s="82">
        <f t="shared" ref="J12" si="3">H12*I12</f>
        <v>5000</v>
      </c>
      <c r="K12" s="82">
        <v>0</v>
      </c>
      <c r="L12" s="82">
        <f t="shared" ref="L12" si="4">J12-K12</f>
        <v>5000</v>
      </c>
      <c r="M12" s="27" t="s">
        <v>236</v>
      </c>
      <c r="N12" s="27" t="s">
        <v>199</v>
      </c>
    </row>
    <row r="13" spans="1:26">
      <c r="G13" s="16" t="s">
        <v>18</v>
      </c>
      <c r="H13" s="110">
        <f>SUM(H7:H12)</f>
        <v>5900</v>
      </c>
      <c r="I13" s="111"/>
      <c r="J13" s="110">
        <f>SUM(J7:J12)</f>
        <v>63200</v>
      </c>
      <c r="K13" s="110">
        <f>SUM(K7:K12)</f>
        <v>200</v>
      </c>
      <c r="L13" s="112">
        <f>SUM(L7:L12)</f>
        <v>63000</v>
      </c>
    </row>
    <row r="14" spans="1:26" ht="16.5" thickBot="1"/>
    <row r="15" spans="1:26" ht="16.5" thickBot="1">
      <c r="B15" s="295" t="s">
        <v>216</v>
      </c>
      <c r="C15" s="296"/>
      <c r="D15" s="297"/>
    </row>
    <row r="16" spans="1:26">
      <c r="B16" s="21" t="s">
        <v>20</v>
      </c>
      <c r="C16" s="21" t="s">
        <v>21</v>
      </c>
      <c r="D16" s="21" t="s">
        <v>23</v>
      </c>
    </row>
    <row r="17" spans="2:4">
      <c r="B17" s="16">
        <v>1</v>
      </c>
      <c r="C17" s="16" t="str">
        <f>"Student "&amp;(ROW()-7)</f>
        <v>Student 10</v>
      </c>
      <c r="D17" s="80">
        <f>'All Names'!E32</f>
        <v>500</v>
      </c>
    </row>
    <row r="18" spans="2:4">
      <c r="B18" s="79">
        <v>2</v>
      </c>
      <c r="C18" s="16" t="str">
        <f>"Student "&amp;(ROW()-7)</f>
        <v>Student 11</v>
      </c>
      <c r="D18" s="81">
        <f>'All Names'!E33</f>
        <v>0</v>
      </c>
    </row>
    <row r="19" spans="2:4">
      <c r="B19" s="293" t="s">
        <v>18</v>
      </c>
      <c r="C19" s="294"/>
      <c r="D19" s="109">
        <f>SUM(D17:D18)</f>
        <v>500</v>
      </c>
    </row>
    <row r="20" spans="2:4">
      <c r="D20" s="50"/>
    </row>
    <row r="21" spans="2:4" ht="16.5" thickBot="1">
      <c r="D21" s="50"/>
    </row>
    <row r="22" spans="2:4" ht="16.5" thickBot="1">
      <c r="B22" s="295" t="s">
        <v>217</v>
      </c>
      <c r="C22" s="296"/>
      <c r="D22" s="297"/>
    </row>
    <row r="23" spans="2:4">
      <c r="B23" s="21" t="s">
        <v>20</v>
      </c>
      <c r="C23" s="21" t="s">
        <v>21</v>
      </c>
      <c r="D23" s="21" t="s">
        <v>23</v>
      </c>
    </row>
    <row r="24" spans="2:4">
      <c r="B24" s="79">
        <v>1</v>
      </c>
      <c r="C24" s="79" t="str">
        <f>"Student "&amp;(ROW()-7)</f>
        <v>Student 17</v>
      </c>
      <c r="D24" s="81">
        <f>'All Names'!E23</f>
        <v>1200</v>
      </c>
    </row>
    <row r="25" spans="2:4">
      <c r="B25" s="293" t="s">
        <v>18</v>
      </c>
      <c r="C25" s="294"/>
      <c r="D25" s="109">
        <f>SUM(D24)</f>
        <v>1200</v>
      </c>
    </row>
    <row r="27" spans="2:4" ht="16.5" thickBot="1"/>
    <row r="28" spans="2:4" ht="16.5" thickBot="1">
      <c r="B28" s="295" t="s">
        <v>218</v>
      </c>
      <c r="C28" s="296"/>
      <c r="D28" s="297"/>
    </row>
    <row r="29" spans="2:4">
      <c r="B29" s="21" t="s">
        <v>20</v>
      </c>
      <c r="C29" s="21" t="s">
        <v>21</v>
      </c>
      <c r="D29" s="21" t="s">
        <v>23</v>
      </c>
    </row>
    <row r="30" spans="2:4">
      <c r="B30" s="16">
        <v>1</v>
      </c>
      <c r="C30" s="16" t="str">
        <f>"Student "&amp;(ROW()-7)</f>
        <v>Student 23</v>
      </c>
      <c r="D30" s="80">
        <f>'All Names'!E9</f>
        <v>400</v>
      </c>
    </row>
    <row r="31" spans="2:4">
      <c r="B31" s="16">
        <v>2</v>
      </c>
      <c r="C31" s="16" t="str">
        <f t="shared" ref="C31:C32" si="5">"Student "&amp;(ROW()-7)</f>
        <v>Student 24</v>
      </c>
      <c r="D31" s="80">
        <f>'All Names'!E10</f>
        <v>400</v>
      </c>
    </row>
    <row r="32" spans="2:4">
      <c r="B32" s="79">
        <v>3</v>
      </c>
      <c r="C32" s="16" t="str">
        <f t="shared" si="5"/>
        <v>Student 25</v>
      </c>
      <c r="D32" s="81">
        <f>'All Names'!E11</f>
        <v>0</v>
      </c>
    </row>
    <row r="33" spans="2:4">
      <c r="B33" s="293" t="s">
        <v>18</v>
      </c>
      <c r="C33" s="294"/>
      <c r="D33" s="109">
        <f>SUM(D30:D32)</f>
        <v>800</v>
      </c>
    </row>
    <row r="34" spans="2:4">
      <c r="D34" s="50"/>
    </row>
    <row r="35" spans="2:4" ht="16.5" thickBot="1"/>
    <row r="36" spans="2:4" ht="16.5" thickBot="1">
      <c r="B36" s="295" t="s">
        <v>224</v>
      </c>
      <c r="C36" s="296"/>
      <c r="D36" s="297"/>
    </row>
    <row r="37" spans="2:4">
      <c r="B37" s="21" t="s">
        <v>20</v>
      </c>
      <c r="C37" s="21" t="s">
        <v>21</v>
      </c>
      <c r="D37" s="21" t="s">
        <v>23</v>
      </c>
    </row>
    <row r="38" spans="2:4">
      <c r="B38" s="16">
        <v>1</v>
      </c>
      <c r="C38" s="16" t="str">
        <f>"Student "&amp;(ROW()-7)</f>
        <v>Student 31</v>
      </c>
      <c r="D38" s="80">
        <f>'All Names'!E20</f>
        <v>200</v>
      </c>
    </row>
    <row r="39" spans="2:4">
      <c r="B39" s="79">
        <v>2</v>
      </c>
      <c r="C39" s="16" t="str">
        <f>"Student "&amp;(ROW()-7)</f>
        <v>Student 32</v>
      </c>
      <c r="D39" s="80">
        <f>'All Names'!E41</f>
        <v>150</v>
      </c>
    </row>
    <row r="40" spans="2:4">
      <c r="B40" s="293" t="s">
        <v>18</v>
      </c>
      <c r="C40" s="294"/>
      <c r="D40" s="109">
        <f>SUM(D38:D39)</f>
        <v>350</v>
      </c>
    </row>
    <row r="42" spans="2:4" ht="16.5" thickBot="1"/>
    <row r="43" spans="2:4" ht="16.5" thickBot="1">
      <c r="B43" s="295" t="s">
        <v>268</v>
      </c>
      <c r="C43" s="296"/>
      <c r="D43" s="297"/>
    </row>
    <row r="44" spans="2:4">
      <c r="B44" s="21" t="s">
        <v>20</v>
      </c>
      <c r="C44" s="21" t="s">
        <v>21</v>
      </c>
      <c r="D44" s="21" t="s">
        <v>23</v>
      </c>
    </row>
    <row r="45" spans="2:4">
      <c r="B45" s="16">
        <v>1</v>
      </c>
      <c r="C45" s="16" t="str">
        <f>"Student "&amp;(ROW()-7)</f>
        <v>Student 38</v>
      </c>
      <c r="D45" s="80">
        <f>'All Names'!E49</f>
        <v>300</v>
      </c>
    </row>
    <row r="46" spans="2:4">
      <c r="B46" s="79">
        <v>2</v>
      </c>
      <c r="C46" s="16" t="str">
        <f>"Student "&amp;(ROW()-7)</f>
        <v>Student 39</v>
      </c>
      <c r="D46" s="80">
        <f>'All Names'!E50</f>
        <v>200</v>
      </c>
    </row>
    <row r="47" spans="2:4">
      <c r="B47" s="293" t="s">
        <v>18</v>
      </c>
      <c r="C47" s="294"/>
      <c r="D47" s="109">
        <f>SUM(D45:D46)</f>
        <v>500</v>
      </c>
    </row>
    <row r="57" spans="2:4">
      <c r="B57" s="10"/>
      <c r="C57" s="10"/>
      <c r="D57" s="10"/>
    </row>
    <row r="59" spans="2:4">
      <c r="D59" s="50"/>
    </row>
    <row r="60" spans="2:4">
      <c r="B60" s="10"/>
      <c r="C60" s="10"/>
      <c r="D60" s="31"/>
    </row>
  </sheetData>
  <sheetProtection formatCells="0" formatColumns="0" formatRows="0" insertColumns="0" insertRows="0" insertHyperlinks="0" deleteColumns="0" deleteRows="0" sort="0" autoFilter="0" pivotTables="0"/>
  <mergeCells count="14">
    <mergeCell ref="A1:Q3"/>
    <mergeCell ref="B47:C47"/>
    <mergeCell ref="B36:D36"/>
    <mergeCell ref="B40:C40"/>
    <mergeCell ref="B19:C19"/>
    <mergeCell ref="B25:C25"/>
    <mergeCell ref="B43:D43"/>
    <mergeCell ref="G5:N5"/>
    <mergeCell ref="B33:C33"/>
    <mergeCell ref="B5:D5"/>
    <mergeCell ref="B15:D15"/>
    <mergeCell ref="B22:D22"/>
    <mergeCell ref="B28:D28"/>
    <mergeCell ref="B12:C12"/>
  </mergeCells>
  <conditionalFormatting sqref="M7:M13">
    <cfRule type="beginsWith" dxfId="204" priority="1" operator="beginsWith" text="UNPAID">
      <formula>LEFT(M7,LEN("UNPAID"))="UNPAID"</formula>
    </cfRule>
    <cfRule type="beginsWith" dxfId="203" priority="2" operator="beginsWith" text="PAID">
      <formula>LEFT(M7,LEN("PAID"))="PAID"</formula>
    </cfRule>
  </conditionalFormatting>
  <dataValidations count="2">
    <dataValidation type="list" allowBlank="1" showInputMessage="1" showErrorMessage="1" sqref="M7:M12" xr:uid="{B1EEC5C6-8D85-4145-9B70-76E511621293}">
      <formula1>"PAID,UNPAID"</formula1>
    </dataValidation>
    <dataValidation type="list" allowBlank="1" showInputMessage="1" showErrorMessage="1" sqref="N7:N12" xr:uid="{21722F3E-2066-45B5-97C8-0D8E054B7BFF}">
      <formula1>"-,UPI,CASH"</formula1>
    </dataValidation>
  </dataValidations>
  <pageMargins left="0.7" right="0.7" top="0.75" bottom="0.75" header="0.3" footer="0.3"/>
  <pageSetup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8C8EF-B167-4DEC-8E62-77C4920D1BBE}">
  <sheetPr codeName="Sheet8">
    <tabColor rgb="FF7030A0"/>
  </sheetPr>
  <dimension ref="A1:AG82"/>
  <sheetViews>
    <sheetView zoomScale="85" zoomScaleNormal="85" workbookViewId="0">
      <selection sqref="A1:M3"/>
    </sheetView>
  </sheetViews>
  <sheetFormatPr defaultColWidth="9.140625" defaultRowHeight="15.75"/>
  <cols>
    <col min="1" max="1" width="15.28515625" style="9" bestFit="1" customWidth="1"/>
    <col min="2" max="2" width="14.140625" style="9" bestFit="1" customWidth="1"/>
    <col min="3" max="3" width="11" style="9" bestFit="1" customWidth="1"/>
    <col min="4" max="4" width="24.140625" style="9" bestFit="1" customWidth="1"/>
    <col min="5" max="5" width="21.42578125" style="9" bestFit="1" customWidth="1"/>
    <col min="6" max="6" width="22.42578125" style="9" customWidth="1"/>
    <col min="7" max="16384" width="9.140625" style="9"/>
  </cols>
  <sheetData>
    <row r="1" spans="1:33">
      <c r="A1" s="250" t="s">
        <v>320</v>
      </c>
      <c r="B1" s="250"/>
      <c r="C1" s="250"/>
      <c r="D1" s="250"/>
      <c r="E1" s="250"/>
      <c r="F1" s="250"/>
      <c r="G1" s="250"/>
      <c r="H1" s="250"/>
      <c r="I1" s="250"/>
      <c r="J1" s="250"/>
      <c r="K1" s="250"/>
      <c r="L1" s="250"/>
      <c r="M1" s="250"/>
      <c r="N1" s="22"/>
      <c r="O1" s="22"/>
      <c r="P1" s="22"/>
      <c r="Q1" s="22"/>
      <c r="R1" s="22"/>
      <c r="S1" s="22"/>
      <c r="T1" s="22"/>
      <c r="U1" s="22"/>
      <c r="V1" s="22"/>
      <c r="W1" s="22"/>
      <c r="X1" s="22"/>
      <c r="Y1" s="22"/>
      <c r="Z1" s="22"/>
      <c r="AA1" s="22"/>
      <c r="AB1" s="22"/>
      <c r="AC1" s="22"/>
      <c r="AD1" s="22"/>
      <c r="AE1" s="22"/>
      <c r="AF1" s="22"/>
      <c r="AG1" s="22"/>
    </row>
    <row r="2" spans="1:33" ht="15.75" customHeight="1">
      <c r="A2" s="250"/>
      <c r="B2" s="250"/>
      <c r="C2" s="250"/>
      <c r="D2" s="250"/>
      <c r="E2" s="250"/>
      <c r="F2" s="250"/>
      <c r="G2" s="250"/>
      <c r="H2" s="250"/>
      <c r="I2" s="250"/>
      <c r="J2" s="250"/>
      <c r="K2" s="250"/>
      <c r="L2" s="250"/>
      <c r="M2" s="250"/>
      <c r="N2" s="22"/>
      <c r="O2" s="22"/>
      <c r="P2" s="22"/>
      <c r="Q2" s="22"/>
      <c r="R2" s="22"/>
      <c r="S2" s="22"/>
      <c r="T2" s="22"/>
      <c r="U2" s="22"/>
      <c r="V2" s="22"/>
      <c r="W2" s="22"/>
      <c r="X2" s="22"/>
      <c r="Y2" s="22"/>
      <c r="Z2" s="22"/>
      <c r="AA2" s="22"/>
      <c r="AB2" s="22"/>
      <c r="AC2" s="22"/>
      <c r="AD2" s="22"/>
      <c r="AE2" s="22"/>
      <c r="AF2" s="22"/>
      <c r="AG2" s="22"/>
    </row>
    <row r="3" spans="1:33">
      <c r="A3" s="250"/>
      <c r="B3" s="250"/>
      <c r="C3" s="250"/>
      <c r="D3" s="250"/>
      <c r="E3" s="250"/>
      <c r="F3" s="250"/>
      <c r="G3" s="250"/>
      <c r="H3" s="250"/>
      <c r="I3" s="250"/>
      <c r="J3" s="250"/>
      <c r="K3" s="250"/>
      <c r="L3" s="250"/>
      <c r="M3" s="250"/>
      <c r="N3" s="22"/>
      <c r="O3" s="22"/>
      <c r="P3" s="22"/>
      <c r="Q3" s="22"/>
      <c r="R3" s="22"/>
      <c r="S3" s="22"/>
      <c r="T3" s="22"/>
      <c r="U3" s="22"/>
      <c r="V3" s="22"/>
      <c r="W3" s="22"/>
      <c r="X3" s="22"/>
      <c r="Y3" s="22"/>
      <c r="Z3" s="22"/>
      <c r="AA3" s="22"/>
      <c r="AB3" s="22"/>
      <c r="AC3" s="22"/>
      <c r="AD3" s="22"/>
      <c r="AE3" s="22"/>
      <c r="AF3" s="22"/>
      <c r="AG3" s="22"/>
    </row>
    <row r="4" spans="1:33" ht="16.5" thickBot="1"/>
    <row r="5" spans="1:33" ht="21" thickBot="1">
      <c r="A5" s="301" t="s">
        <v>254</v>
      </c>
      <c r="B5" s="302"/>
      <c r="E5" s="51"/>
    </row>
    <row r="7" spans="1:33">
      <c r="A7" s="52" t="s">
        <v>249</v>
      </c>
      <c r="B7" s="53" t="s">
        <v>250</v>
      </c>
      <c r="C7" s="53" t="s">
        <v>22</v>
      </c>
      <c r="D7" s="53" t="s">
        <v>251</v>
      </c>
      <c r="E7" s="53" t="s">
        <v>252</v>
      </c>
      <c r="F7" s="54" t="s">
        <v>225</v>
      </c>
    </row>
    <row r="8" spans="1:33">
      <c r="A8" s="52">
        <f t="shared" ref="A8:A12" si="0">ROW()-7</f>
        <v>1</v>
      </c>
      <c r="B8" s="53" t="s">
        <v>191</v>
      </c>
      <c r="C8" s="53" t="s">
        <v>193</v>
      </c>
      <c r="D8" s="53">
        <v>15</v>
      </c>
      <c r="E8" s="53">
        <v>9</v>
      </c>
      <c r="F8" s="55">
        <f>IFERROR(Table7[[#This Row],[MARKS OBT.]]/Table7[[#This Row],[TOTAL MARKS ]],"")</f>
        <v>0.6</v>
      </c>
    </row>
    <row r="9" spans="1:33">
      <c r="A9" s="56">
        <f t="shared" si="0"/>
        <v>2</v>
      </c>
      <c r="B9" s="27" t="s">
        <v>192</v>
      </c>
      <c r="C9" s="27" t="s">
        <v>194</v>
      </c>
      <c r="D9" s="53">
        <v>15</v>
      </c>
      <c r="E9" s="27">
        <v>12</v>
      </c>
      <c r="F9" s="57">
        <f>IFERROR(Table7[[#This Row],[MARKS OBT.]]/Table7[[#This Row],[TOTAL MARKS ]],"")</f>
        <v>0.8</v>
      </c>
    </row>
    <row r="10" spans="1:33">
      <c r="A10" s="56">
        <f t="shared" si="0"/>
        <v>3</v>
      </c>
      <c r="B10" s="27" t="s">
        <v>185</v>
      </c>
      <c r="C10" s="27" t="s">
        <v>189</v>
      </c>
      <c r="D10" s="53">
        <v>15</v>
      </c>
      <c r="E10" s="27">
        <v>14</v>
      </c>
      <c r="F10" s="57">
        <f>IFERROR(Table7[[#This Row],[MARKS OBT.]]/Table7[[#This Row],[TOTAL MARKS ]],"")</f>
        <v>0.93333333333333335</v>
      </c>
    </row>
    <row r="11" spans="1:33">
      <c r="A11" s="58">
        <f t="shared" si="0"/>
        <v>4</v>
      </c>
      <c r="B11" s="49" t="s">
        <v>253</v>
      </c>
      <c r="C11" s="49" t="s">
        <v>197</v>
      </c>
      <c r="D11" s="53">
        <v>15</v>
      </c>
      <c r="E11" s="49">
        <v>14</v>
      </c>
      <c r="F11" s="59">
        <f>IFERROR(Table7[[#This Row],[MARKS OBT.]]/Table7[[#This Row],[TOTAL MARKS ]],"")</f>
        <v>0.93333333333333335</v>
      </c>
    </row>
    <row r="12" spans="1:33">
      <c r="A12" s="58">
        <f t="shared" si="0"/>
        <v>5</v>
      </c>
      <c r="B12" s="49" t="s">
        <v>203</v>
      </c>
      <c r="C12" s="49" t="s">
        <v>189</v>
      </c>
      <c r="D12" s="49">
        <v>15</v>
      </c>
      <c r="E12" s="49">
        <v>10</v>
      </c>
      <c r="F12" s="59">
        <f>IFERROR(Table7[[#This Row],[MARKS OBT.]]/Table7[[#This Row],[TOTAL MARKS ]],"")</f>
        <v>0.66666666666666663</v>
      </c>
    </row>
    <row r="13" spans="1:33">
      <c r="A13" s="56">
        <f t="shared" ref="A13:A21" si="1">ROW()-7</f>
        <v>6</v>
      </c>
      <c r="B13" s="27" t="s">
        <v>286</v>
      </c>
      <c r="C13" s="27" t="s">
        <v>189</v>
      </c>
      <c r="D13" s="27">
        <v>15</v>
      </c>
      <c r="E13" s="27">
        <v>6</v>
      </c>
      <c r="F13" s="59">
        <f>IFERROR(Table7[[#This Row],[MARKS OBT.]]/Table7[[#This Row],[TOTAL MARKS ]],"")</f>
        <v>0.4</v>
      </c>
    </row>
    <row r="14" spans="1:33">
      <c r="A14" s="56">
        <f t="shared" si="1"/>
        <v>7</v>
      </c>
      <c r="B14" s="27" t="s">
        <v>293</v>
      </c>
      <c r="C14" s="27" t="s">
        <v>193</v>
      </c>
      <c r="D14" s="27">
        <v>15</v>
      </c>
      <c r="E14" s="27">
        <v>10</v>
      </c>
      <c r="F14" s="59">
        <f>IFERROR(Table7[[#This Row],[MARKS OBT.]]/Table7[[#This Row],[TOTAL MARKS ]],"")</f>
        <v>0.66666666666666663</v>
      </c>
    </row>
    <row r="15" spans="1:33">
      <c r="A15" s="56">
        <f t="shared" si="1"/>
        <v>8</v>
      </c>
      <c r="B15" s="27" t="s">
        <v>235</v>
      </c>
      <c r="C15" s="27" t="s">
        <v>197</v>
      </c>
      <c r="D15" s="27">
        <v>15</v>
      </c>
      <c r="E15" s="27">
        <v>8</v>
      </c>
      <c r="F15" s="59">
        <f>IFERROR(Table7[[#This Row],[MARKS OBT.]]/Table7[[#This Row],[TOTAL MARKS ]],"")</f>
        <v>0.53333333333333333</v>
      </c>
    </row>
    <row r="16" spans="1:33">
      <c r="A16" s="56">
        <f t="shared" si="1"/>
        <v>9</v>
      </c>
      <c r="B16" s="27" t="s">
        <v>296</v>
      </c>
      <c r="C16" s="27" t="s">
        <v>197</v>
      </c>
      <c r="D16" s="27">
        <v>15</v>
      </c>
      <c r="E16" s="27">
        <v>7</v>
      </c>
      <c r="F16" s="59">
        <f>IFERROR(Table7[[#This Row],[MARKS OBT.]]/Table7[[#This Row],[TOTAL MARKS ]],"")</f>
        <v>0.46666666666666667</v>
      </c>
    </row>
    <row r="17" spans="1:6">
      <c r="A17" s="56">
        <f t="shared" si="1"/>
        <v>10</v>
      </c>
      <c r="B17" s="27" t="s">
        <v>238</v>
      </c>
      <c r="C17" s="27" t="s">
        <v>197</v>
      </c>
      <c r="D17" s="27">
        <v>15</v>
      </c>
      <c r="E17" s="27">
        <v>8</v>
      </c>
      <c r="F17" s="59">
        <f>IFERROR(Table7[[#This Row],[MARKS OBT.]]/Table7[[#This Row],[TOTAL MARKS ]],"")</f>
        <v>0.53333333333333333</v>
      </c>
    </row>
    <row r="18" spans="1:6">
      <c r="A18" s="56">
        <f t="shared" si="1"/>
        <v>11</v>
      </c>
      <c r="B18" s="27" t="s">
        <v>233</v>
      </c>
      <c r="C18" s="27" t="s">
        <v>197</v>
      </c>
      <c r="D18" s="27">
        <v>15</v>
      </c>
      <c r="E18" s="27">
        <v>9</v>
      </c>
      <c r="F18" s="59">
        <f>IFERROR(Table7[[#This Row],[MARKS OBT.]]/Table7[[#This Row],[TOTAL MARKS ]],"")</f>
        <v>0.6</v>
      </c>
    </row>
    <row r="19" spans="1:6">
      <c r="A19" s="56">
        <f t="shared" si="1"/>
        <v>12</v>
      </c>
      <c r="B19" s="27" t="s">
        <v>234</v>
      </c>
      <c r="C19" s="27" t="s">
        <v>187</v>
      </c>
      <c r="D19" s="27">
        <v>15</v>
      </c>
      <c r="E19" s="27">
        <v>12</v>
      </c>
      <c r="F19" s="59">
        <f>IFERROR(Table7[[#This Row],[MARKS OBT.]]/Table7[[#This Row],[TOTAL MARKS ]],"")</f>
        <v>0.8</v>
      </c>
    </row>
    <row r="20" spans="1:6">
      <c r="A20" s="56">
        <f t="shared" si="1"/>
        <v>13</v>
      </c>
      <c r="B20" s="27"/>
      <c r="C20" s="27"/>
      <c r="D20" s="27"/>
      <c r="E20" s="27"/>
      <c r="F20" s="59" t="str">
        <f>IFERROR(Table7[[#This Row],[MARKS OBT.]]/Table7[[#This Row],[TOTAL MARKS ]],"")</f>
        <v/>
      </c>
    </row>
    <row r="21" spans="1:6">
      <c r="A21" s="58">
        <f t="shared" si="1"/>
        <v>14</v>
      </c>
      <c r="B21" s="49"/>
      <c r="C21" s="49"/>
      <c r="D21" s="49"/>
      <c r="E21" s="49"/>
      <c r="F21" s="59" t="str">
        <f>IFERROR(Table7[[#This Row],[MARKS OBT.]]/Table7[[#This Row],[TOTAL MARKS ]],"")</f>
        <v/>
      </c>
    </row>
    <row r="22" spans="1:6">
      <c r="A22" s="58">
        <f>ROW()-7</f>
        <v>15</v>
      </c>
      <c r="B22" s="49"/>
      <c r="C22" s="49"/>
      <c r="D22" s="49"/>
      <c r="E22" s="49"/>
      <c r="F22" s="59" t="str">
        <f>IFERROR(Table7[[#This Row],[MARKS OBT.]]/Table7[[#This Row],[TOTAL MARKS ]],"")</f>
        <v/>
      </c>
    </row>
    <row r="24" spans="1:6" ht="16.5" thickBot="1"/>
    <row r="25" spans="1:6" ht="21" thickBot="1">
      <c r="A25" s="301" t="s">
        <v>255</v>
      </c>
      <c r="B25" s="302"/>
      <c r="E25" s="51"/>
    </row>
    <row r="27" spans="1:6">
      <c r="A27" s="52" t="s">
        <v>249</v>
      </c>
      <c r="B27" s="53" t="s">
        <v>250</v>
      </c>
      <c r="C27" s="53" t="s">
        <v>22</v>
      </c>
      <c r="D27" s="53" t="s">
        <v>251</v>
      </c>
      <c r="E27" s="53" t="s">
        <v>252</v>
      </c>
      <c r="F27" s="54" t="s">
        <v>225</v>
      </c>
    </row>
    <row r="28" spans="1:6">
      <c r="A28" s="52">
        <f t="shared" ref="A28:A42" si="2">ROW()-27</f>
        <v>1</v>
      </c>
      <c r="B28" s="53" t="s">
        <v>191</v>
      </c>
      <c r="C28" s="53" t="s">
        <v>193</v>
      </c>
      <c r="D28" s="53">
        <v>15</v>
      </c>
      <c r="E28" s="53">
        <v>12</v>
      </c>
      <c r="F28" s="55">
        <f>IFERROR(Table78[[#This Row],[MARKS OBT.]]/Table78[[#This Row],[TOTAL MARKS ]],"")</f>
        <v>0.8</v>
      </c>
    </row>
    <row r="29" spans="1:6">
      <c r="A29" s="56">
        <f t="shared" si="2"/>
        <v>2</v>
      </c>
      <c r="B29" s="27" t="s">
        <v>192</v>
      </c>
      <c r="C29" s="27" t="s">
        <v>194</v>
      </c>
      <c r="D29" s="53">
        <v>15</v>
      </c>
      <c r="E29" s="27">
        <v>10</v>
      </c>
      <c r="F29" s="57">
        <f>IFERROR(Table78[[#This Row],[MARKS OBT.]]/Table78[[#This Row],[TOTAL MARKS ]],"")</f>
        <v>0.66666666666666663</v>
      </c>
    </row>
    <row r="30" spans="1:6">
      <c r="A30" s="56">
        <f t="shared" si="2"/>
        <v>3</v>
      </c>
      <c r="B30" s="27" t="s">
        <v>185</v>
      </c>
      <c r="C30" s="27" t="s">
        <v>189</v>
      </c>
      <c r="D30" s="53">
        <v>15</v>
      </c>
      <c r="E30" s="27">
        <v>6</v>
      </c>
      <c r="F30" s="57">
        <f>IFERROR(Table78[[#This Row],[MARKS OBT.]]/Table78[[#This Row],[TOTAL MARKS ]],"")</f>
        <v>0.4</v>
      </c>
    </row>
    <row r="31" spans="1:6">
      <c r="A31" s="58">
        <f t="shared" si="2"/>
        <v>4</v>
      </c>
      <c r="B31" s="49" t="s">
        <v>253</v>
      </c>
      <c r="C31" s="49" t="s">
        <v>197</v>
      </c>
      <c r="D31" s="53">
        <v>15</v>
      </c>
      <c r="E31" s="49">
        <v>12</v>
      </c>
      <c r="F31" s="59">
        <f>IFERROR(Table78[[#This Row],[MARKS OBT.]]/Table78[[#This Row],[TOTAL MARKS ]],"")</f>
        <v>0.8</v>
      </c>
    </row>
    <row r="32" spans="1:6">
      <c r="A32" s="58">
        <f t="shared" si="2"/>
        <v>5</v>
      </c>
      <c r="B32" s="49" t="s">
        <v>203</v>
      </c>
      <c r="C32" s="49" t="s">
        <v>189</v>
      </c>
      <c r="D32" s="49">
        <v>15</v>
      </c>
      <c r="E32" s="49">
        <v>8</v>
      </c>
      <c r="F32" s="59">
        <f>IFERROR(Table78[[#This Row],[MARKS OBT.]]/Table78[[#This Row],[TOTAL MARKS ]],"")</f>
        <v>0.53333333333333333</v>
      </c>
    </row>
    <row r="33" spans="1:6">
      <c r="A33" s="56">
        <f t="shared" si="2"/>
        <v>6</v>
      </c>
      <c r="B33" s="27" t="s">
        <v>196</v>
      </c>
      <c r="C33" s="27" t="s">
        <v>189</v>
      </c>
      <c r="D33" s="27">
        <v>15</v>
      </c>
      <c r="E33" s="27">
        <v>7</v>
      </c>
      <c r="F33" s="59">
        <f>IFERROR(Table78[[#This Row],[MARKS OBT.]]/Table78[[#This Row],[TOTAL MARKS ]],"")</f>
        <v>0.46666666666666667</v>
      </c>
    </row>
    <row r="34" spans="1:6">
      <c r="A34" s="56">
        <f t="shared" si="2"/>
        <v>7</v>
      </c>
      <c r="B34" s="27"/>
      <c r="C34" s="27"/>
      <c r="D34" s="27"/>
      <c r="E34" s="27"/>
      <c r="F34" s="59" t="str">
        <f>IFERROR(Table78[[#This Row],[MARKS OBT.]]/Table78[[#This Row],[TOTAL MARKS ]],"")</f>
        <v/>
      </c>
    </row>
    <row r="35" spans="1:6">
      <c r="A35" s="56">
        <f t="shared" si="2"/>
        <v>8</v>
      </c>
      <c r="B35" s="27"/>
      <c r="C35" s="27"/>
      <c r="D35" s="27"/>
      <c r="E35" s="27"/>
      <c r="F35" s="59" t="str">
        <f>IFERROR(Table78[[#This Row],[MARKS OBT.]]/Table78[[#This Row],[TOTAL MARKS ]],"")</f>
        <v/>
      </c>
    </row>
    <row r="36" spans="1:6">
      <c r="A36" s="56">
        <f t="shared" si="2"/>
        <v>9</v>
      </c>
      <c r="B36" s="27"/>
      <c r="C36" s="27"/>
      <c r="D36" s="27"/>
      <c r="E36" s="27"/>
      <c r="F36" s="59" t="str">
        <f>IFERROR(Table78[[#This Row],[MARKS OBT.]]/Table78[[#This Row],[TOTAL MARKS ]],"")</f>
        <v/>
      </c>
    </row>
    <row r="37" spans="1:6">
      <c r="A37" s="56">
        <f t="shared" si="2"/>
        <v>10</v>
      </c>
      <c r="B37" s="27"/>
      <c r="C37" s="27"/>
      <c r="D37" s="27"/>
      <c r="E37" s="27"/>
      <c r="F37" s="59" t="str">
        <f>IFERROR(Table78[[#This Row],[MARKS OBT.]]/Table78[[#This Row],[TOTAL MARKS ]],"")</f>
        <v/>
      </c>
    </row>
    <row r="38" spans="1:6">
      <c r="A38" s="56">
        <f t="shared" si="2"/>
        <v>11</v>
      </c>
      <c r="B38" s="27"/>
      <c r="C38" s="27"/>
      <c r="D38" s="27"/>
      <c r="E38" s="27"/>
      <c r="F38" s="59" t="str">
        <f>IFERROR(Table78[[#This Row],[MARKS OBT.]]/Table78[[#This Row],[TOTAL MARKS ]],"")</f>
        <v/>
      </c>
    </row>
    <row r="39" spans="1:6">
      <c r="A39" s="56">
        <f t="shared" si="2"/>
        <v>12</v>
      </c>
      <c r="B39" s="27"/>
      <c r="C39" s="27"/>
      <c r="D39" s="27"/>
      <c r="E39" s="27"/>
      <c r="F39" s="59" t="str">
        <f>IFERROR(Table78[[#This Row],[MARKS OBT.]]/Table78[[#This Row],[TOTAL MARKS ]],"")</f>
        <v/>
      </c>
    </row>
    <row r="40" spans="1:6">
      <c r="A40" s="56">
        <f t="shared" si="2"/>
        <v>13</v>
      </c>
      <c r="B40" s="27"/>
      <c r="C40" s="27"/>
      <c r="D40" s="27"/>
      <c r="E40" s="27"/>
      <c r="F40" s="59" t="str">
        <f>IFERROR(Table78[[#This Row],[MARKS OBT.]]/Table78[[#This Row],[TOTAL MARKS ]],"")</f>
        <v/>
      </c>
    </row>
    <row r="41" spans="1:6">
      <c r="A41" s="56">
        <f t="shared" si="2"/>
        <v>14</v>
      </c>
      <c r="B41" s="27"/>
      <c r="C41" s="27"/>
      <c r="D41" s="27"/>
      <c r="E41" s="27"/>
      <c r="F41" s="59" t="str">
        <f>IFERROR(Table78[[#This Row],[MARKS OBT.]]/Table78[[#This Row],[TOTAL MARKS ]],"")</f>
        <v/>
      </c>
    </row>
    <row r="42" spans="1:6">
      <c r="A42" s="58">
        <f t="shared" si="2"/>
        <v>15</v>
      </c>
      <c r="B42" s="49"/>
      <c r="C42" s="49"/>
      <c r="D42" s="49"/>
      <c r="E42" s="49"/>
      <c r="F42" s="59" t="str">
        <f>IFERROR(Table78[[#This Row],[MARKS OBT.]]/Table78[[#This Row],[TOTAL MARKS ]],"")</f>
        <v/>
      </c>
    </row>
    <row r="44" spans="1:6" ht="16.5" thickBot="1"/>
    <row r="45" spans="1:6" ht="21" thickBot="1">
      <c r="A45" s="301" t="s">
        <v>256</v>
      </c>
      <c r="B45" s="302"/>
      <c r="E45" s="51"/>
    </row>
    <row r="47" spans="1:6">
      <c r="A47" s="52" t="s">
        <v>249</v>
      </c>
      <c r="B47" s="53" t="s">
        <v>250</v>
      </c>
      <c r="C47" s="53" t="s">
        <v>22</v>
      </c>
      <c r="D47" s="53" t="s">
        <v>251</v>
      </c>
      <c r="E47" s="53" t="s">
        <v>252</v>
      </c>
      <c r="F47" s="54" t="s">
        <v>225</v>
      </c>
    </row>
    <row r="48" spans="1:6">
      <c r="A48" s="52">
        <f t="shared" ref="A48:A52" si="3">ROW()-47</f>
        <v>1</v>
      </c>
      <c r="B48" s="53" t="s">
        <v>191</v>
      </c>
      <c r="C48" s="53" t="s">
        <v>193</v>
      </c>
      <c r="D48" s="53">
        <v>15</v>
      </c>
      <c r="E48" s="53">
        <v>3</v>
      </c>
      <c r="F48" s="55">
        <f>IFERROR(Table789[[#This Row],[MARKS OBT.]]/Table789[[#This Row],[TOTAL MARKS ]],"")</f>
        <v>0.2</v>
      </c>
    </row>
    <row r="49" spans="1:6">
      <c r="A49" s="56">
        <f t="shared" si="3"/>
        <v>2</v>
      </c>
      <c r="B49" s="27" t="s">
        <v>192</v>
      </c>
      <c r="C49" s="27" t="s">
        <v>194</v>
      </c>
      <c r="D49" s="53">
        <v>15</v>
      </c>
      <c r="E49" s="27">
        <v>11</v>
      </c>
      <c r="F49" s="57">
        <f>IFERROR(Table789[[#This Row],[MARKS OBT.]]/Table789[[#This Row],[TOTAL MARKS ]],"")</f>
        <v>0.73333333333333328</v>
      </c>
    </row>
    <row r="50" spans="1:6">
      <c r="A50" s="56">
        <f t="shared" si="3"/>
        <v>3</v>
      </c>
      <c r="B50" s="27" t="s">
        <v>185</v>
      </c>
      <c r="C50" s="27" t="s">
        <v>189</v>
      </c>
      <c r="D50" s="53">
        <v>15</v>
      </c>
      <c r="E50" s="27">
        <v>11</v>
      </c>
      <c r="F50" s="57">
        <f>IFERROR(Table789[[#This Row],[MARKS OBT.]]/Table789[[#This Row],[TOTAL MARKS ]],"")</f>
        <v>0.73333333333333328</v>
      </c>
    </row>
    <row r="51" spans="1:6">
      <c r="A51" s="58">
        <f t="shared" si="3"/>
        <v>4</v>
      </c>
      <c r="B51" s="49" t="s">
        <v>253</v>
      </c>
      <c r="C51" s="49" t="s">
        <v>197</v>
      </c>
      <c r="D51" s="53">
        <v>15</v>
      </c>
      <c r="E51" s="49">
        <v>10</v>
      </c>
      <c r="F51" s="59">
        <f>IFERROR(Table789[[#This Row],[MARKS OBT.]]/Table789[[#This Row],[TOTAL MARKS ]],"")</f>
        <v>0.66666666666666663</v>
      </c>
    </row>
    <row r="52" spans="1:6">
      <c r="A52" s="58">
        <f t="shared" si="3"/>
        <v>5</v>
      </c>
      <c r="B52" s="49" t="s">
        <v>203</v>
      </c>
      <c r="C52" s="49" t="s">
        <v>189</v>
      </c>
      <c r="D52" s="49">
        <v>15</v>
      </c>
      <c r="E52" s="49">
        <v>1</v>
      </c>
      <c r="F52" s="59">
        <f>IFERROR(Table789[[#This Row],[MARKS OBT.]]/Table789[[#This Row],[TOTAL MARKS ]],"")</f>
        <v>6.6666666666666666E-2</v>
      </c>
    </row>
    <row r="53" spans="1:6">
      <c r="A53" s="56">
        <f t="shared" ref="A53:A61" si="4">ROW()-47</f>
        <v>6</v>
      </c>
      <c r="B53" s="27"/>
      <c r="C53" s="27"/>
      <c r="D53" s="27"/>
      <c r="E53" s="27"/>
      <c r="F53" s="59" t="str">
        <f>IFERROR(Table789[[#This Row],[MARKS OBT.]]/Table789[[#This Row],[TOTAL MARKS ]],"")</f>
        <v/>
      </c>
    </row>
    <row r="54" spans="1:6">
      <c r="A54" s="56">
        <f t="shared" si="4"/>
        <v>7</v>
      </c>
      <c r="B54" s="27"/>
      <c r="C54" s="27"/>
      <c r="D54" s="27"/>
      <c r="E54" s="27"/>
      <c r="F54" s="59" t="str">
        <f>IFERROR(Table789[[#This Row],[MARKS OBT.]]/Table789[[#This Row],[TOTAL MARKS ]],"")</f>
        <v/>
      </c>
    </row>
    <row r="55" spans="1:6">
      <c r="A55" s="56">
        <f t="shared" si="4"/>
        <v>8</v>
      </c>
      <c r="B55" s="27"/>
      <c r="C55" s="27"/>
      <c r="D55" s="27"/>
      <c r="E55" s="27"/>
      <c r="F55" s="59" t="str">
        <f>IFERROR(Table789[[#This Row],[MARKS OBT.]]/Table789[[#This Row],[TOTAL MARKS ]],"")</f>
        <v/>
      </c>
    </row>
    <row r="56" spans="1:6">
      <c r="A56" s="56">
        <f t="shared" si="4"/>
        <v>9</v>
      </c>
      <c r="B56" s="27"/>
      <c r="C56" s="27"/>
      <c r="D56" s="27"/>
      <c r="E56" s="27"/>
      <c r="F56" s="59" t="str">
        <f>IFERROR(Table789[[#This Row],[MARKS OBT.]]/Table789[[#This Row],[TOTAL MARKS ]],"")</f>
        <v/>
      </c>
    </row>
    <row r="57" spans="1:6">
      <c r="A57" s="56">
        <f t="shared" si="4"/>
        <v>10</v>
      </c>
      <c r="B57" s="27"/>
      <c r="C57" s="27"/>
      <c r="D57" s="27"/>
      <c r="E57" s="27"/>
      <c r="F57" s="59" t="str">
        <f>IFERROR(Table789[[#This Row],[MARKS OBT.]]/Table789[[#This Row],[TOTAL MARKS ]],"")</f>
        <v/>
      </c>
    </row>
    <row r="58" spans="1:6">
      <c r="A58" s="56">
        <f t="shared" si="4"/>
        <v>11</v>
      </c>
      <c r="B58" s="27"/>
      <c r="C58" s="27"/>
      <c r="D58" s="27"/>
      <c r="E58" s="27"/>
      <c r="F58" s="59" t="str">
        <f>IFERROR(Table789[[#This Row],[MARKS OBT.]]/Table789[[#This Row],[TOTAL MARKS ]],"")</f>
        <v/>
      </c>
    </row>
    <row r="59" spans="1:6">
      <c r="A59" s="56">
        <f t="shared" si="4"/>
        <v>12</v>
      </c>
      <c r="B59" s="27"/>
      <c r="C59" s="27"/>
      <c r="D59" s="27"/>
      <c r="E59" s="27"/>
      <c r="F59" s="59" t="str">
        <f>IFERROR(Table789[[#This Row],[MARKS OBT.]]/Table789[[#This Row],[TOTAL MARKS ]],"")</f>
        <v/>
      </c>
    </row>
    <row r="60" spans="1:6">
      <c r="A60" s="56">
        <f t="shared" si="4"/>
        <v>13</v>
      </c>
      <c r="B60" s="27"/>
      <c r="C60" s="27"/>
      <c r="D60" s="27"/>
      <c r="E60" s="27"/>
      <c r="F60" s="59" t="str">
        <f>IFERROR(Table789[[#This Row],[MARKS OBT.]]/Table789[[#This Row],[TOTAL MARKS ]],"")</f>
        <v/>
      </c>
    </row>
    <row r="61" spans="1:6">
      <c r="A61" s="58">
        <f t="shared" si="4"/>
        <v>14</v>
      </c>
      <c r="B61" s="49"/>
      <c r="C61" s="49"/>
      <c r="D61" s="49"/>
      <c r="E61" s="49"/>
      <c r="F61" s="59" t="str">
        <f>IFERROR(Table789[[#This Row],[MARKS OBT.]]/Table789[[#This Row],[TOTAL MARKS ]],"")</f>
        <v/>
      </c>
    </row>
    <row r="62" spans="1:6">
      <c r="A62" s="58">
        <f>ROW()-47</f>
        <v>15</v>
      </c>
      <c r="B62" s="49"/>
      <c r="C62" s="49"/>
      <c r="D62" s="49"/>
      <c r="E62" s="49"/>
      <c r="F62" s="59" t="str">
        <f>IFERROR(Table789[[#This Row],[MARKS OBT.]]/Table789[[#This Row],[TOTAL MARKS ]],"")</f>
        <v/>
      </c>
    </row>
    <row r="64" spans="1:6" ht="16.5" thickBot="1"/>
    <row r="65" spans="1:6" ht="21" thickBot="1">
      <c r="A65" s="301" t="s">
        <v>295</v>
      </c>
      <c r="B65" s="302"/>
      <c r="E65" s="51"/>
    </row>
    <row r="67" spans="1:6">
      <c r="A67" s="52" t="s">
        <v>249</v>
      </c>
      <c r="B67" s="53" t="s">
        <v>250</v>
      </c>
      <c r="C67" s="53" t="s">
        <v>22</v>
      </c>
      <c r="D67" s="53" t="s">
        <v>251</v>
      </c>
      <c r="E67" s="53" t="s">
        <v>252</v>
      </c>
      <c r="F67" s="54" t="s">
        <v>225</v>
      </c>
    </row>
    <row r="68" spans="1:6">
      <c r="A68" s="52">
        <f t="shared" ref="A68:A82" si="5">ROW()-67</f>
        <v>1</v>
      </c>
      <c r="B68" s="53" t="s">
        <v>191</v>
      </c>
      <c r="C68" s="53" t="s">
        <v>193</v>
      </c>
      <c r="D68" s="53">
        <v>15</v>
      </c>
      <c r="E68" s="53">
        <v>12</v>
      </c>
      <c r="F68" s="55">
        <f>IFERROR(Table7895[[#This Row],[MARKS OBT.]]/Table7895[[#This Row],[TOTAL MARKS ]],"")</f>
        <v>0.8</v>
      </c>
    </row>
    <row r="69" spans="1:6">
      <c r="A69" s="56">
        <f t="shared" si="5"/>
        <v>2</v>
      </c>
      <c r="B69" s="27" t="s">
        <v>192</v>
      </c>
      <c r="C69" s="27" t="s">
        <v>194</v>
      </c>
      <c r="D69" s="53">
        <v>15</v>
      </c>
      <c r="E69" s="27">
        <v>9</v>
      </c>
      <c r="F69" s="57">
        <f>IFERROR(Table7895[[#This Row],[MARKS OBT.]]/Table7895[[#This Row],[TOTAL MARKS ]],"")</f>
        <v>0.6</v>
      </c>
    </row>
    <row r="70" spans="1:6">
      <c r="A70" s="56">
        <f t="shared" si="5"/>
        <v>3</v>
      </c>
      <c r="B70" s="27" t="s">
        <v>185</v>
      </c>
      <c r="C70" s="27" t="s">
        <v>189</v>
      </c>
      <c r="D70" s="53">
        <v>15</v>
      </c>
      <c r="E70" s="27">
        <v>6</v>
      </c>
      <c r="F70" s="57">
        <f>IFERROR(Table7895[[#This Row],[MARKS OBT.]]/Table7895[[#This Row],[TOTAL MARKS ]],"")</f>
        <v>0.4</v>
      </c>
    </row>
    <row r="71" spans="1:6">
      <c r="A71" s="58">
        <f t="shared" si="5"/>
        <v>4</v>
      </c>
      <c r="B71" s="49" t="s">
        <v>253</v>
      </c>
      <c r="C71" s="49" t="s">
        <v>197</v>
      </c>
      <c r="D71" s="53">
        <v>15</v>
      </c>
      <c r="E71" s="49">
        <v>13</v>
      </c>
      <c r="F71" s="59">
        <f>IFERROR(Table7895[[#This Row],[MARKS OBT.]]/Table7895[[#This Row],[TOTAL MARKS ]],"")</f>
        <v>0.8666666666666667</v>
      </c>
    </row>
    <row r="72" spans="1:6">
      <c r="A72" s="58">
        <f t="shared" si="5"/>
        <v>5</v>
      </c>
      <c r="B72" s="49"/>
      <c r="C72" s="49"/>
      <c r="D72" s="49"/>
      <c r="E72" s="49"/>
      <c r="F72" s="59" t="str">
        <f>IFERROR(Table7895[[#This Row],[MARKS OBT.]]/Table7895[[#This Row],[TOTAL MARKS ]],"")</f>
        <v/>
      </c>
    </row>
    <row r="73" spans="1:6">
      <c r="A73" s="56">
        <f t="shared" si="5"/>
        <v>6</v>
      </c>
      <c r="B73" s="27"/>
      <c r="C73" s="27"/>
      <c r="D73" s="27"/>
      <c r="E73" s="27"/>
      <c r="F73" s="59" t="str">
        <f>IFERROR(Table7895[[#This Row],[MARKS OBT.]]/Table7895[[#This Row],[TOTAL MARKS ]],"")</f>
        <v/>
      </c>
    </row>
    <row r="74" spans="1:6">
      <c r="A74" s="56">
        <f t="shared" si="5"/>
        <v>7</v>
      </c>
      <c r="B74" s="27"/>
      <c r="C74" s="27"/>
      <c r="D74" s="27"/>
      <c r="E74" s="27"/>
      <c r="F74" s="59" t="str">
        <f>IFERROR(Table7895[[#This Row],[MARKS OBT.]]/Table7895[[#This Row],[TOTAL MARKS ]],"")</f>
        <v/>
      </c>
    </row>
    <row r="75" spans="1:6">
      <c r="A75" s="56">
        <f t="shared" si="5"/>
        <v>8</v>
      </c>
      <c r="B75" s="27"/>
      <c r="C75" s="27"/>
      <c r="D75" s="27"/>
      <c r="E75" s="27"/>
      <c r="F75" s="59" t="str">
        <f>IFERROR(Table7895[[#This Row],[MARKS OBT.]]/Table7895[[#This Row],[TOTAL MARKS ]],"")</f>
        <v/>
      </c>
    </row>
    <row r="76" spans="1:6">
      <c r="A76" s="56">
        <f t="shared" si="5"/>
        <v>9</v>
      </c>
      <c r="B76" s="27"/>
      <c r="C76" s="27"/>
      <c r="D76" s="27"/>
      <c r="E76" s="27"/>
      <c r="F76" s="59" t="str">
        <f>IFERROR(Table7895[[#This Row],[MARKS OBT.]]/Table7895[[#This Row],[TOTAL MARKS ]],"")</f>
        <v/>
      </c>
    </row>
    <row r="77" spans="1:6">
      <c r="A77" s="56">
        <f t="shared" si="5"/>
        <v>10</v>
      </c>
      <c r="B77" s="27"/>
      <c r="C77" s="27"/>
      <c r="D77" s="27"/>
      <c r="E77" s="27"/>
      <c r="F77" s="59" t="str">
        <f>IFERROR(Table7895[[#This Row],[MARKS OBT.]]/Table7895[[#This Row],[TOTAL MARKS ]],"")</f>
        <v/>
      </c>
    </row>
    <row r="78" spans="1:6">
      <c r="A78" s="56">
        <f t="shared" si="5"/>
        <v>11</v>
      </c>
      <c r="B78" s="27"/>
      <c r="C78" s="27"/>
      <c r="D78" s="27"/>
      <c r="E78" s="27"/>
      <c r="F78" s="59" t="str">
        <f>IFERROR(Table7895[[#This Row],[MARKS OBT.]]/Table7895[[#This Row],[TOTAL MARKS ]],"")</f>
        <v/>
      </c>
    </row>
    <row r="79" spans="1:6">
      <c r="A79" s="56">
        <f t="shared" si="5"/>
        <v>12</v>
      </c>
      <c r="B79" s="27"/>
      <c r="C79" s="27"/>
      <c r="D79" s="27"/>
      <c r="E79" s="27"/>
      <c r="F79" s="59" t="str">
        <f>IFERROR(Table7895[[#This Row],[MARKS OBT.]]/Table7895[[#This Row],[TOTAL MARKS ]],"")</f>
        <v/>
      </c>
    </row>
    <row r="80" spans="1:6">
      <c r="A80" s="56">
        <f t="shared" si="5"/>
        <v>13</v>
      </c>
      <c r="B80" s="27"/>
      <c r="C80" s="27"/>
      <c r="D80" s="27"/>
      <c r="E80" s="27"/>
      <c r="F80" s="59" t="str">
        <f>IFERROR(Table7895[[#This Row],[MARKS OBT.]]/Table7895[[#This Row],[TOTAL MARKS ]],"")</f>
        <v/>
      </c>
    </row>
    <row r="81" spans="1:6">
      <c r="A81" s="58">
        <f t="shared" si="5"/>
        <v>14</v>
      </c>
      <c r="B81" s="49"/>
      <c r="C81" s="49"/>
      <c r="D81" s="49"/>
      <c r="E81" s="49"/>
      <c r="F81" s="59" t="str">
        <f>IFERROR(Table7895[[#This Row],[MARKS OBT.]]/Table7895[[#This Row],[TOTAL MARKS ]],"")</f>
        <v/>
      </c>
    </row>
    <row r="82" spans="1:6">
      <c r="A82" s="58">
        <f t="shared" si="5"/>
        <v>15</v>
      </c>
      <c r="B82" s="49"/>
      <c r="C82" s="49"/>
      <c r="D82" s="49"/>
      <c r="E82" s="49"/>
      <c r="F82" s="59" t="str">
        <f>IFERROR(Table7895[[#This Row],[MARKS OBT.]]/Table7895[[#This Row],[TOTAL MARKS ]],"")</f>
        <v/>
      </c>
    </row>
  </sheetData>
  <mergeCells count="5">
    <mergeCell ref="A5:B5"/>
    <mergeCell ref="A25:B25"/>
    <mergeCell ref="A45:B45"/>
    <mergeCell ref="A1:M3"/>
    <mergeCell ref="A65:B65"/>
  </mergeCells>
  <dataValidations count="2">
    <dataValidation type="list" allowBlank="1" showInputMessage="1" showErrorMessage="1" sqref="C65:C72 C27:C34 C45:C52 C86:C1048576 C7:C22" xr:uid="{F6079D71-EEE0-45AC-BEDF-803063D33F16}">
      <formula1>"0th,Jr.kg/Sr.kg,1st,2nd,3rd,4th,5th,6th,7th,8th,9th,10th"</formula1>
    </dataValidation>
    <dataValidation type="list" allowBlank="1" showInputMessage="1" showErrorMessage="1" sqref="D65:D72 D27:D34 D45:D52 D86:D1048576 D7:D22" xr:uid="{0BB8C2E0-73E8-4906-BF81-3D963156FF4C}">
      <formula1>"10,15,20,25"</formula1>
    </dataValidation>
  </dataValidations>
  <pageMargins left="0.7" right="0.7" top="0.75" bottom="0.75" header="0.3" footer="0.3"/>
  <pageSetup orientation="portrait" r:id="rId1"/>
  <tableParts count="4">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0A43C-8780-44F7-ABA8-5B40D58D3383}">
  <sheetPr codeName="Sheet9">
    <tabColor rgb="FF7030A0"/>
  </sheetPr>
  <dimension ref="A1:AG67"/>
  <sheetViews>
    <sheetView zoomScale="85" zoomScaleNormal="85" workbookViewId="0">
      <selection sqref="A1:M3"/>
    </sheetView>
  </sheetViews>
  <sheetFormatPr defaultColWidth="9.140625" defaultRowHeight="15.75"/>
  <cols>
    <col min="1" max="1" width="14.5703125" style="9" bestFit="1" customWidth="1"/>
    <col min="2" max="2" width="13.7109375" style="9" bestFit="1" customWidth="1"/>
    <col min="3" max="12" width="15.5703125" style="9" bestFit="1" customWidth="1"/>
    <col min="13" max="13" width="19.85546875" style="9" bestFit="1" customWidth="1"/>
    <col min="14" max="14" width="17.5703125" style="9" customWidth="1"/>
    <col min="15" max="15" width="18.42578125" style="9" bestFit="1" customWidth="1"/>
    <col min="16" max="19" width="10.7109375" style="9" bestFit="1" customWidth="1"/>
    <col min="20" max="21" width="11.85546875" style="9" bestFit="1" customWidth="1"/>
    <col min="22" max="25" width="10.7109375" style="9" bestFit="1" customWidth="1"/>
    <col min="26" max="26" width="10.28515625" style="9" customWidth="1"/>
    <col min="27" max="27" width="12.5703125" style="9" customWidth="1"/>
    <col min="28" max="29" width="12.5703125" style="9" bestFit="1" customWidth="1"/>
    <col min="30" max="30" width="21" style="9" bestFit="1" customWidth="1"/>
    <col min="31" max="16384" width="9.140625" style="9"/>
  </cols>
  <sheetData>
    <row r="1" spans="1:33" ht="15.75" customHeight="1">
      <c r="A1" s="250" t="s">
        <v>321</v>
      </c>
      <c r="B1" s="250"/>
      <c r="C1" s="250"/>
      <c r="D1" s="250"/>
      <c r="E1" s="250"/>
      <c r="F1" s="250"/>
      <c r="G1" s="250"/>
      <c r="H1" s="250"/>
      <c r="I1" s="250"/>
      <c r="J1" s="250"/>
      <c r="K1" s="250"/>
      <c r="L1" s="250"/>
      <c r="M1" s="250"/>
      <c r="N1" s="36"/>
      <c r="O1" s="36"/>
      <c r="P1" s="22"/>
      <c r="Q1" s="22"/>
      <c r="R1" s="22"/>
      <c r="S1" s="22"/>
      <c r="T1" s="22"/>
      <c r="U1" s="22"/>
      <c r="V1" s="22"/>
      <c r="W1" s="22"/>
      <c r="X1" s="22"/>
      <c r="Y1" s="22"/>
      <c r="Z1" s="22"/>
      <c r="AA1" s="22"/>
      <c r="AB1" s="22"/>
      <c r="AC1" s="22"/>
      <c r="AD1" s="22"/>
      <c r="AE1" s="22"/>
      <c r="AF1" s="22"/>
      <c r="AG1" s="22"/>
    </row>
    <row r="2" spans="1:33" ht="15.75" customHeight="1">
      <c r="A2" s="250"/>
      <c r="B2" s="250"/>
      <c r="C2" s="250"/>
      <c r="D2" s="250"/>
      <c r="E2" s="250"/>
      <c r="F2" s="250"/>
      <c r="G2" s="250"/>
      <c r="H2" s="250"/>
      <c r="I2" s="250"/>
      <c r="J2" s="250"/>
      <c r="K2" s="250"/>
      <c r="L2" s="250"/>
      <c r="M2" s="250"/>
      <c r="N2" s="36"/>
      <c r="O2" s="36"/>
      <c r="P2" s="22"/>
      <c r="Q2" s="22"/>
      <c r="R2" s="22"/>
      <c r="S2" s="22"/>
      <c r="T2" s="22"/>
      <c r="U2" s="22"/>
      <c r="V2" s="22"/>
      <c r="W2" s="22"/>
      <c r="X2" s="22"/>
      <c r="Y2" s="22"/>
      <c r="Z2" s="22"/>
      <c r="AA2" s="22"/>
      <c r="AB2" s="22"/>
      <c r="AC2" s="22"/>
      <c r="AD2" s="22"/>
      <c r="AE2" s="22"/>
      <c r="AF2" s="22"/>
      <c r="AG2" s="22"/>
    </row>
    <row r="3" spans="1:33" ht="15.75" customHeight="1">
      <c r="A3" s="250"/>
      <c r="B3" s="250"/>
      <c r="C3" s="250"/>
      <c r="D3" s="250"/>
      <c r="E3" s="250"/>
      <c r="F3" s="250"/>
      <c r="G3" s="250"/>
      <c r="H3" s="250"/>
      <c r="I3" s="250"/>
      <c r="J3" s="250"/>
      <c r="K3" s="250"/>
      <c r="L3" s="250"/>
      <c r="M3" s="250"/>
      <c r="N3" s="36"/>
      <c r="O3" s="36"/>
      <c r="P3" s="22"/>
      <c r="Q3" s="22"/>
      <c r="R3" s="22"/>
      <c r="S3" s="22"/>
      <c r="T3" s="22"/>
      <c r="U3" s="22"/>
      <c r="V3" s="22"/>
      <c r="W3" s="22"/>
      <c r="X3" s="22"/>
      <c r="Y3" s="22"/>
      <c r="Z3" s="22"/>
      <c r="AA3" s="22"/>
      <c r="AB3" s="22"/>
      <c r="AC3" s="22"/>
      <c r="AD3" s="22"/>
      <c r="AE3" s="22"/>
      <c r="AF3" s="22"/>
      <c r="AG3" s="22"/>
    </row>
    <row r="5" spans="1:33">
      <c r="A5" s="71" t="s">
        <v>20</v>
      </c>
      <c r="B5" s="72" t="s">
        <v>21</v>
      </c>
      <c r="C5" s="72" t="s">
        <v>257</v>
      </c>
      <c r="D5" s="72" t="s">
        <v>258</v>
      </c>
      <c r="E5" s="72" t="s">
        <v>259</v>
      </c>
      <c r="F5" s="73" t="s">
        <v>260</v>
      </c>
      <c r="G5" s="72" t="s">
        <v>261</v>
      </c>
      <c r="H5" s="72" t="s">
        <v>262</v>
      </c>
      <c r="I5" s="72" t="s">
        <v>263</v>
      </c>
      <c r="J5" s="72" t="s">
        <v>264</v>
      </c>
      <c r="K5" s="72" t="s">
        <v>265</v>
      </c>
      <c r="L5" s="72" t="s">
        <v>266</v>
      </c>
      <c r="M5" s="72" t="s">
        <v>267</v>
      </c>
    </row>
    <row r="6" spans="1:33" ht="15.75" customHeight="1">
      <c r="A6" s="52">
        <f t="shared" ref="A6:A11" si="0">ROW()-5</f>
        <v>1</v>
      </c>
      <c r="B6" s="53" t="str">
        <f>'Maths Test'!B8</f>
        <v xml:space="preserve">ZEEDAN </v>
      </c>
      <c r="C6" s="85">
        <f>'Maths Test'!F8</f>
        <v>0.6</v>
      </c>
      <c r="D6" s="85">
        <f>'Maths Test'!F28</f>
        <v>0.8</v>
      </c>
      <c r="E6" s="85">
        <f>'Maths Test'!F48</f>
        <v>0.2</v>
      </c>
      <c r="F6" s="86">
        <f>'Maths Test'!F68</f>
        <v>0.8</v>
      </c>
      <c r="G6" s="85"/>
      <c r="H6" s="85"/>
      <c r="I6" s="85"/>
      <c r="J6" s="85"/>
      <c r="K6" s="85"/>
      <c r="L6" s="85"/>
      <c r="M6" s="85">
        <f>IFERROR(AVERAGE(Table9[[#This Row],[TEST 01]:[TEST 10]]),"")</f>
        <v>0.6</v>
      </c>
    </row>
    <row r="7" spans="1:33">
      <c r="A7" s="56">
        <f t="shared" si="0"/>
        <v>2</v>
      </c>
      <c r="B7" s="27" t="str">
        <f>'Maths Test'!B9</f>
        <v>BILAL</v>
      </c>
      <c r="C7" s="87">
        <f>'Maths Test'!F9</f>
        <v>0.8</v>
      </c>
      <c r="D7" s="87">
        <f>'Maths Test'!F29</f>
        <v>0.66666666666666663</v>
      </c>
      <c r="E7" s="87">
        <f>'Maths Test'!F49</f>
        <v>0.73333333333333328</v>
      </c>
      <c r="F7" s="88">
        <f>'Maths Test'!F69</f>
        <v>0.6</v>
      </c>
      <c r="G7" s="87"/>
      <c r="H7" s="87"/>
      <c r="I7" s="87"/>
      <c r="J7" s="87"/>
      <c r="K7" s="87"/>
      <c r="L7" s="87"/>
      <c r="M7" s="87">
        <f>IFERROR(AVERAGE(Table9[[#This Row],[TEST 01]:[TEST 10]]),"")</f>
        <v>0.70000000000000007</v>
      </c>
    </row>
    <row r="8" spans="1:33">
      <c r="A8" s="56">
        <f t="shared" si="0"/>
        <v>3</v>
      </c>
      <c r="B8" s="27" t="str">
        <f>'Maths Test'!B10</f>
        <v>IQRA</v>
      </c>
      <c r="C8" s="87">
        <f>'Maths Test'!F10</f>
        <v>0.93333333333333335</v>
      </c>
      <c r="D8" s="87">
        <f>'Maths Test'!F30</f>
        <v>0.4</v>
      </c>
      <c r="E8" s="87">
        <f>'Maths Test'!F50</f>
        <v>0.73333333333333328</v>
      </c>
      <c r="F8" s="88">
        <f>'Maths Test'!F70</f>
        <v>0.4</v>
      </c>
      <c r="G8" s="87"/>
      <c r="H8" s="87"/>
      <c r="I8" s="87"/>
      <c r="J8" s="87"/>
      <c r="K8" s="87"/>
      <c r="L8" s="87"/>
      <c r="M8" s="87">
        <f>IFERROR(AVERAGE(Table9[[#This Row],[TEST 01]:[TEST 10]]),"")</f>
        <v>0.6166666666666667</v>
      </c>
      <c r="AB8" s="89"/>
      <c r="AC8" s="89"/>
      <c r="AD8" s="89"/>
    </row>
    <row r="9" spans="1:33">
      <c r="A9" s="56">
        <f t="shared" si="0"/>
        <v>4</v>
      </c>
      <c r="B9" s="27" t="str">
        <f>'Maths Test'!B11</f>
        <v xml:space="preserve">NAYRA </v>
      </c>
      <c r="C9" s="87">
        <f>'Maths Test'!F11</f>
        <v>0.93333333333333335</v>
      </c>
      <c r="D9" s="87">
        <f>'Maths Test'!F31</f>
        <v>0.8</v>
      </c>
      <c r="E9" s="87">
        <f>'Maths Test'!F51</f>
        <v>0.66666666666666663</v>
      </c>
      <c r="F9" s="88">
        <f>'Maths Test'!F71</f>
        <v>0.8666666666666667</v>
      </c>
      <c r="G9" s="87"/>
      <c r="H9" s="87"/>
      <c r="I9" s="87"/>
      <c r="J9" s="87"/>
      <c r="K9" s="87"/>
      <c r="L9" s="87"/>
      <c r="M9" s="87">
        <f>IFERROR(AVERAGE(Table9[[#This Row],[TEST 01]:[TEST 10]]),"")</f>
        <v>0.81666666666666665</v>
      </c>
      <c r="N9" s="90"/>
      <c r="AB9" s="89"/>
      <c r="AC9" s="89"/>
      <c r="AD9" s="91"/>
    </row>
    <row r="10" spans="1:33">
      <c r="A10" s="56">
        <f t="shared" si="0"/>
        <v>5</v>
      </c>
      <c r="B10" s="27" t="str">
        <f>'Maths Test'!B12</f>
        <v>JIYA</v>
      </c>
      <c r="C10" s="87">
        <f>'Maths Test'!F12</f>
        <v>0.66666666666666663</v>
      </c>
      <c r="D10" s="87">
        <f>'Maths Test'!F32</f>
        <v>0.53333333333333333</v>
      </c>
      <c r="E10" s="87">
        <f>'Maths Test'!F52</f>
        <v>6.6666666666666666E-2</v>
      </c>
      <c r="F10" s="65"/>
      <c r="G10" s="87"/>
      <c r="H10" s="87"/>
      <c r="I10" s="87"/>
      <c r="J10" s="87"/>
      <c r="K10" s="87"/>
      <c r="L10" s="87"/>
      <c r="M10" s="87">
        <f>IFERROR(AVERAGE(Table9[[#This Row],[TEST 01]:[TEST 10]]),"")</f>
        <v>0.42222222222222222</v>
      </c>
      <c r="AB10" s="89"/>
      <c r="AC10" s="89"/>
      <c r="AD10" s="91"/>
    </row>
    <row r="11" spans="1:33">
      <c r="A11" s="58">
        <f t="shared" si="0"/>
        <v>6</v>
      </c>
      <c r="B11" s="49" t="str">
        <f>'Maths Test'!B13</f>
        <v>ANKITA</v>
      </c>
      <c r="C11" s="92">
        <f>'Maths Test'!F13</f>
        <v>0.4</v>
      </c>
      <c r="D11" s="92">
        <f>'Maths Test'!F33</f>
        <v>0.46666666666666667</v>
      </c>
      <c r="E11" s="92"/>
      <c r="F11" s="70"/>
      <c r="G11" s="87"/>
      <c r="H11" s="87"/>
      <c r="I11" s="87"/>
      <c r="J11" s="87"/>
      <c r="K11" s="87"/>
      <c r="L11" s="87"/>
      <c r="M11" s="87">
        <f>IFERROR(AVERAGE(Table9[[#This Row],[TEST 01]:[TEST 10]]),"")</f>
        <v>0.43333333333333335</v>
      </c>
      <c r="AB11" s="89"/>
      <c r="AC11" s="89"/>
      <c r="AD11" s="91"/>
    </row>
    <row r="12" spans="1:33">
      <c r="A12" s="58">
        <f>ROW()-5</f>
        <v>7</v>
      </c>
      <c r="B12" s="49" t="str">
        <f>'Maths Test'!B14</f>
        <v>SHAALU</v>
      </c>
      <c r="C12" s="92">
        <f>'Maths Test'!F14</f>
        <v>0.66666666666666663</v>
      </c>
      <c r="D12" s="92"/>
      <c r="E12" s="92"/>
      <c r="F12" s="70"/>
      <c r="G12" s="87"/>
      <c r="H12" s="87"/>
      <c r="I12" s="87"/>
      <c r="J12" s="87"/>
      <c r="K12" s="87"/>
      <c r="L12" s="87"/>
      <c r="M12" s="87">
        <f>IFERROR(AVERAGE(Table9[[#This Row],[TEST 01]:[TEST 10]]),"")</f>
        <v>0.66666666666666663</v>
      </c>
      <c r="AB12" s="89"/>
      <c r="AC12" s="89"/>
      <c r="AD12" s="91"/>
    </row>
    <row r="13" spans="1:33">
      <c r="A13" s="56">
        <f t="shared" ref="A13:A20" si="1">ROW()-5</f>
        <v>8</v>
      </c>
      <c r="B13" s="27" t="str">
        <f>'Maths Test'!B15</f>
        <v>SARTHAK</v>
      </c>
      <c r="C13" s="87">
        <f>'Maths Test'!F15</f>
        <v>0.53333333333333333</v>
      </c>
      <c r="D13" s="87"/>
      <c r="E13" s="87"/>
      <c r="F13" s="65"/>
      <c r="G13" s="87"/>
      <c r="H13" s="87"/>
      <c r="I13" s="87"/>
      <c r="J13" s="87"/>
      <c r="K13" s="87"/>
      <c r="L13" s="87"/>
      <c r="M13" s="87">
        <f>IFERROR(AVERAGE(Table9[[#This Row],[TEST 01]:[TEST 10]]),"")</f>
        <v>0.53333333333333333</v>
      </c>
      <c r="AB13" s="89"/>
      <c r="AC13" s="89"/>
      <c r="AD13" s="89"/>
    </row>
    <row r="14" spans="1:33">
      <c r="A14" s="56">
        <f t="shared" si="1"/>
        <v>9</v>
      </c>
      <c r="B14" s="27" t="str">
        <f>'Maths Test'!B16</f>
        <v>KARISHMA</v>
      </c>
      <c r="C14" s="87">
        <f>'Maths Test'!F16</f>
        <v>0.46666666666666667</v>
      </c>
      <c r="D14" s="87"/>
      <c r="E14" s="87"/>
      <c r="F14" s="65"/>
      <c r="G14" s="87"/>
      <c r="H14" s="87"/>
      <c r="I14" s="87"/>
      <c r="J14" s="87"/>
      <c r="K14" s="87"/>
      <c r="L14" s="87"/>
      <c r="M14" s="87">
        <f>IFERROR(AVERAGE(Table9[[#This Row],[TEST 01]:[TEST 10]]),"")</f>
        <v>0.46666666666666667</v>
      </c>
      <c r="AB14" s="89"/>
      <c r="AC14" s="89"/>
      <c r="AD14" s="89"/>
    </row>
    <row r="15" spans="1:33">
      <c r="A15" s="56">
        <f t="shared" si="1"/>
        <v>10</v>
      </c>
      <c r="B15" s="27" t="str">
        <f>'Maths Test'!B17</f>
        <v>SHALINI</v>
      </c>
      <c r="C15" s="87">
        <f>'Maths Test'!F17</f>
        <v>0.53333333333333333</v>
      </c>
      <c r="D15" s="87"/>
      <c r="E15" s="87"/>
      <c r="F15" s="65"/>
      <c r="G15" s="87"/>
      <c r="H15" s="87"/>
      <c r="I15" s="87"/>
      <c r="J15" s="87"/>
      <c r="K15" s="87"/>
      <c r="L15" s="87"/>
      <c r="M15" s="87">
        <f>IFERROR(AVERAGE(Table9[[#This Row],[TEST 01]:[TEST 10]]),"")</f>
        <v>0.53333333333333333</v>
      </c>
      <c r="AB15" s="89"/>
      <c r="AC15" s="89"/>
      <c r="AD15" s="89"/>
    </row>
    <row r="16" spans="1:33">
      <c r="A16" s="56">
        <f t="shared" si="1"/>
        <v>11</v>
      </c>
      <c r="B16" s="27" t="str">
        <f>'Maths Test'!B18</f>
        <v xml:space="preserve">NIKHIL </v>
      </c>
      <c r="C16" s="87">
        <f>'Maths Test'!F18</f>
        <v>0.6</v>
      </c>
      <c r="D16" s="87"/>
      <c r="E16" s="87"/>
      <c r="F16" s="65"/>
      <c r="G16" s="87"/>
      <c r="H16" s="87"/>
      <c r="I16" s="87"/>
      <c r="J16" s="87"/>
      <c r="K16" s="87"/>
      <c r="L16" s="87"/>
      <c r="M16" s="87">
        <f>IFERROR(AVERAGE(Table9[[#This Row],[TEST 01]:[TEST 10]]),"")</f>
        <v>0.6</v>
      </c>
      <c r="AB16" s="89"/>
      <c r="AC16" s="89"/>
      <c r="AD16" s="89"/>
    </row>
    <row r="17" spans="1:30">
      <c r="A17" s="56">
        <f t="shared" si="1"/>
        <v>12</v>
      </c>
      <c r="B17" s="27" t="str">
        <f>'Maths Test'!B19</f>
        <v xml:space="preserve">SATYAM </v>
      </c>
      <c r="C17" s="87">
        <f>'Maths Test'!F19</f>
        <v>0.8</v>
      </c>
      <c r="D17" s="87"/>
      <c r="E17" s="87"/>
      <c r="F17" s="65"/>
      <c r="G17" s="87"/>
      <c r="H17" s="87"/>
      <c r="I17" s="87"/>
      <c r="J17" s="87"/>
      <c r="K17" s="87"/>
      <c r="L17" s="87"/>
      <c r="M17" s="87">
        <f>IFERROR(AVERAGE(Table9[[#This Row],[TEST 01]:[TEST 10]]),"")</f>
        <v>0.8</v>
      </c>
      <c r="AB17" s="89"/>
      <c r="AC17" s="89"/>
      <c r="AD17" s="89"/>
    </row>
    <row r="18" spans="1:30">
      <c r="A18" s="56">
        <f t="shared" si="1"/>
        <v>13</v>
      </c>
      <c r="B18" s="27"/>
      <c r="C18" s="87"/>
      <c r="D18" s="87"/>
      <c r="E18" s="87"/>
      <c r="F18" s="65"/>
      <c r="G18" s="87"/>
      <c r="H18" s="87"/>
      <c r="I18" s="87"/>
      <c r="J18" s="87"/>
      <c r="K18" s="87"/>
      <c r="L18" s="87"/>
      <c r="M18" s="87" t="str">
        <f>IFERROR(AVERAGE(Table9[[#This Row],[TEST 01]:[TEST 10]]),"")</f>
        <v/>
      </c>
      <c r="AB18" s="89"/>
      <c r="AC18" s="89"/>
      <c r="AD18" s="89"/>
    </row>
    <row r="19" spans="1:30">
      <c r="A19" s="56">
        <f t="shared" si="1"/>
        <v>14</v>
      </c>
      <c r="B19" s="27"/>
      <c r="C19" s="87"/>
      <c r="D19" s="87"/>
      <c r="E19" s="87"/>
      <c r="F19" s="65"/>
      <c r="G19" s="87"/>
      <c r="H19" s="87"/>
      <c r="I19" s="87"/>
      <c r="J19" s="87"/>
      <c r="K19" s="87"/>
      <c r="L19" s="87"/>
      <c r="M19" s="87" t="str">
        <f>IFERROR(AVERAGE(Table9[[#This Row],[TEST 01]:[TEST 10]]),"")</f>
        <v/>
      </c>
      <c r="AB19" s="89"/>
      <c r="AC19" s="89"/>
      <c r="AD19" s="89"/>
    </row>
    <row r="20" spans="1:30">
      <c r="A20" s="58">
        <f t="shared" si="1"/>
        <v>15</v>
      </c>
      <c r="B20" s="49"/>
      <c r="C20" s="92"/>
      <c r="D20" s="92"/>
      <c r="E20" s="92"/>
      <c r="F20" s="70"/>
      <c r="G20" s="92"/>
      <c r="H20" s="92"/>
      <c r="I20" s="92"/>
      <c r="J20" s="92"/>
      <c r="K20" s="92"/>
      <c r="L20" s="92"/>
      <c r="M20" s="92" t="str">
        <f>IFERROR(AVERAGE(Table9[[#This Row],[TEST 01]:[TEST 10]]),"")</f>
        <v/>
      </c>
      <c r="AB20" s="89"/>
      <c r="AC20" s="89"/>
      <c r="AD20" s="89"/>
    </row>
    <row r="21" spans="1:30">
      <c r="AB21" s="89"/>
      <c r="AC21" s="89"/>
      <c r="AD21" s="89"/>
    </row>
    <row r="22" spans="1:30">
      <c r="AB22" s="89"/>
      <c r="AC22" s="89"/>
      <c r="AD22" s="89"/>
    </row>
    <row r="23" spans="1:30">
      <c r="AB23" s="89"/>
      <c r="AC23" s="89"/>
      <c r="AD23" s="89"/>
    </row>
    <row r="25" spans="1:30">
      <c r="A25" s="10"/>
      <c r="B25" s="10"/>
      <c r="C25" s="93"/>
      <c r="D25" s="93"/>
      <c r="E25" s="93"/>
      <c r="F25" s="93"/>
      <c r="G25" s="93"/>
      <c r="H25" s="93"/>
      <c r="I25" s="93"/>
      <c r="J25" s="93"/>
      <c r="K25" s="93"/>
      <c r="L25" s="93"/>
      <c r="N25" s="10"/>
      <c r="O25" s="10"/>
      <c r="P25" s="93"/>
      <c r="Q25" s="93"/>
      <c r="R25" s="93"/>
      <c r="S25" s="93"/>
      <c r="T25" s="93"/>
      <c r="U25" s="93"/>
      <c r="V25" s="93"/>
      <c r="W25" s="93"/>
      <c r="X25" s="93"/>
      <c r="Y25" s="93"/>
    </row>
    <row r="27" spans="1:30" ht="15.75" customHeight="1"/>
    <row r="30" spans="1:30">
      <c r="A30" s="90"/>
      <c r="N30" s="90"/>
    </row>
    <row r="46" spans="1:25">
      <c r="A46" s="10"/>
      <c r="B46" s="10"/>
      <c r="C46" s="93"/>
      <c r="D46" s="93"/>
      <c r="E46" s="93"/>
      <c r="F46" s="93"/>
      <c r="G46" s="93"/>
      <c r="H46" s="93"/>
      <c r="I46" s="93"/>
      <c r="J46" s="93"/>
      <c r="K46" s="93"/>
      <c r="L46" s="93"/>
      <c r="N46" s="10"/>
      <c r="O46" s="10"/>
      <c r="P46" s="93"/>
      <c r="Q46" s="93"/>
      <c r="R46" s="93"/>
      <c r="S46" s="93"/>
      <c r="T46" s="93"/>
      <c r="U46" s="93"/>
      <c r="V46" s="93"/>
      <c r="W46" s="93"/>
      <c r="X46" s="93"/>
      <c r="Y46" s="93"/>
    </row>
    <row r="48" spans="1:25" ht="15.75" customHeight="1"/>
    <row r="51" spans="1:14">
      <c r="A51" s="90"/>
      <c r="N51" s="90"/>
    </row>
    <row r="67" spans="1:25">
      <c r="A67" s="10"/>
      <c r="B67" s="10"/>
      <c r="C67" s="93"/>
      <c r="D67" s="93"/>
      <c r="E67" s="93"/>
      <c r="F67" s="93"/>
      <c r="G67" s="93"/>
      <c r="H67" s="93"/>
      <c r="I67" s="93"/>
      <c r="J67" s="93"/>
      <c r="K67" s="93"/>
      <c r="L67" s="93"/>
      <c r="N67" s="10"/>
      <c r="O67" s="10"/>
      <c r="P67" s="93"/>
      <c r="Q67" s="93"/>
      <c r="R67" s="93"/>
      <c r="S67" s="93"/>
      <c r="T67" s="93"/>
      <c r="U67" s="93"/>
      <c r="V67" s="93"/>
      <c r="W67" s="93"/>
      <c r="X67" s="93"/>
      <c r="Y67" s="93"/>
    </row>
  </sheetData>
  <scenarios current="0" show="0">
    <scenario name="percentage" locked="1" count="1" user="New tech" comment="Created by New tech on 10-08-2026">
      <inputCells r="F32" val="0.75"/>
    </scenario>
  </scenarios>
  <mergeCells count="1">
    <mergeCell ref="A1:M3"/>
  </mergeCells>
  <phoneticPr fontId="4" type="noConversion"/>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80884-AD2D-486D-87F1-9AA97D77ECCE}">
  <sheetPr codeName="Sheet10">
    <tabColor rgb="FFFFC000"/>
  </sheetPr>
  <dimension ref="A1:AG61"/>
  <sheetViews>
    <sheetView zoomScale="70" zoomScaleNormal="70" workbookViewId="0">
      <selection sqref="A1:R3"/>
    </sheetView>
  </sheetViews>
  <sheetFormatPr defaultColWidth="9.140625" defaultRowHeight="15.75"/>
  <cols>
    <col min="1" max="1" width="10" style="9" bestFit="1" customWidth="1"/>
    <col min="2" max="2" width="47.140625" style="9" bestFit="1" customWidth="1"/>
    <col min="3" max="3" width="9.140625" style="9"/>
    <col min="4" max="4" width="1.140625" style="9" customWidth="1"/>
    <col min="5" max="5" width="0.7109375" style="9" customWidth="1"/>
    <col min="6" max="6" width="11.28515625" style="9" customWidth="1"/>
    <col min="7" max="7" width="40.28515625" style="9" bestFit="1" customWidth="1"/>
    <col min="8" max="8" width="10.7109375" style="9" customWidth="1"/>
    <col min="9" max="9" width="0.28515625" style="9" customWidth="1"/>
    <col min="10" max="10" width="1.85546875" style="9" customWidth="1"/>
    <col min="11" max="11" width="10" style="9" bestFit="1" customWidth="1"/>
    <col min="12" max="12" width="50.140625" style="9" bestFit="1" customWidth="1"/>
    <col min="13" max="13" width="11.42578125" style="9" customWidth="1"/>
    <col min="14" max="14" width="1.140625" style="9" hidden="1" customWidth="1"/>
    <col min="15" max="15" width="2.42578125" style="9" customWidth="1"/>
    <col min="16" max="16" width="10" style="9" bestFit="1" customWidth="1"/>
    <col min="17" max="17" width="35.7109375" style="9" bestFit="1" customWidth="1"/>
    <col min="18" max="18" width="10.28515625" style="9" customWidth="1"/>
    <col min="19" max="19" width="1.140625" style="9" customWidth="1"/>
    <col min="20" max="20" width="1.28515625" style="9" customWidth="1"/>
    <col min="21" max="21" width="10" style="9" bestFit="1" customWidth="1"/>
    <col min="22" max="22" width="44.28515625" style="9" bestFit="1" customWidth="1"/>
    <col min="23" max="23" width="9.140625" style="9"/>
    <col min="24" max="25" width="1.28515625" style="9" customWidth="1"/>
    <col min="26" max="26" width="10" style="9" bestFit="1" customWidth="1"/>
    <col min="27" max="27" width="44.85546875" style="9" bestFit="1" customWidth="1"/>
    <col min="28" max="16384" width="9.140625" style="9"/>
  </cols>
  <sheetData>
    <row r="1" spans="1:33" ht="15.75" customHeight="1">
      <c r="A1" s="250" t="s">
        <v>322</v>
      </c>
      <c r="B1" s="250"/>
      <c r="C1" s="250"/>
      <c r="D1" s="250"/>
      <c r="E1" s="250"/>
      <c r="F1" s="250"/>
      <c r="G1" s="250"/>
      <c r="H1" s="250"/>
      <c r="I1" s="250"/>
      <c r="J1" s="250"/>
      <c r="K1" s="250"/>
      <c r="L1" s="250"/>
      <c r="M1" s="250"/>
      <c r="N1" s="250"/>
      <c r="O1" s="250"/>
      <c r="P1" s="250"/>
      <c r="Q1" s="250"/>
      <c r="R1" s="250"/>
      <c r="S1" s="22"/>
      <c r="T1" s="22"/>
      <c r="U1" s="22"/>
      <c r="V1" s="22"/>
      <c r="W1" s="22"/>
      <c r="X1" s="22"/>
      <c r="Y1" s="22"/>
      <c r="Z1" s="22"/>
      <c r="AA1" s="22"/>
      <c r="AB1" s="22"/>
      <c r="AC1" s="22"/>
      <c r="AD1" s="22"/>
      <c r="AE1" s="22"/>
      <c r="AF1" s="22"/>
      <c r="AG1" s="22"/>
    </row>
    <row r="2" spans="1:33" ht="15.75" customHeight="1">
      <c r="A2" s="250"/>
      <c r="B2" s="250"/>
      <c r="C2" s="250"/>
      <c r="D2" s="250"/>
      <c r="E2" s="250"/>
      <c r="F2" s="250"/>
      <c r="G2" s="250"/>
      <c r="H2" s="250"/>
      <c r="I2" s="250"/>
      <c r="J2" s="250"/>
      <c r="K2" s="250"/>
      <c r="L2" s="250"/>
      <c r="M2" s="250"/>
      <c r="N2" s="250"/>
      <c r="O2" s="250"/>
      <c r="P2" s="250"/>
      <c r="Q2" s="250"/>
      <c r="R2" s="250"/>
      <c r="S2" s="22"/>
      <c r="T2" s="22"/>
      <c r="U2" s="22"/>
      <c r="V2" s="22"/>
      <c r="W2" s="22"/>
      <c r="X2" s="22"/>
      <c r="Y2" s="22"/>
      <c r="Z2" s="22"/>
      <c r="AA2" s="22"/>
      <c r="AB2" s="22"/>
      <c r="AC2" s="22"/>
      <c r="AD2" s="22"/>
      <c r="AE2" s="22"/>
      <c r="AF2" s="22"/>
      <c r="AG2" s="22"/>
    </row>
    <row r="3" spans="1:33" ht="15.75" customHeight="1">
      <c r="A3" s="250"/>
      <c r="B3" s="250"/>
      <c r="C3" s="250"/>
      <c r="D3" s="250"/>
      <c r="E3" s="250"/>
      <c r="F3" s="250"/>
      <c r="G3" s="250"/>
      <c r="H3" s="250"/>
      <c r="I3" s="250"/>
      <c r="J3" s="250"/>
      <c r="K3" s="250"/>
      <c r="L3" s="250"/>
      <c r="M3" s="250"/>
      <c r="N3" s="250"/>
      <c r="O3" s="250"/>
      <c r="P3" s="250"/>
      <c r="Q3" s="250"/>
      <c r="R3" s="250"/>
      <c r="S3" s="22"/>
      <c r="T3" s="22"/>
      <c r="U3" s="22"/>
      <c r="V3" s="22"/>
      <c r="W3" s="22"/>
      <c r="X3" s="22"/>
      <c r="Y3" s="22"/>
      <c r="Z3" s="22"/>
      <c r="AA3" s="22"/>
      <c r="AB3" s="22"/>
      <c r="AC3" s="22"/>
      <c r="AD3" s="22"/>
      <c r="AE3" s="22"/>
      <c r="AF3" s="22"/>
      <c r="AG3" s="22"/>
    </row>
    <row r="4" spans="1:33" ht="15.75" customHeight="1">
      <c r="A4" s="11"/>
      <c r="B4" s="11"/>
      <c r="C4" s="11"/>
      <c r="D4" s="11"/>
      <c r="E4" s="11"/>
      <c r="F4" s="11"/>
      <c r="G4" s="11"/>
      <c r="H4" s="11"/>
      <c r="I4" s="11"/>
      <c r="J4" s="11"/>
      <c r="K4" s="11"/>
      <c r="L4" s="11"/>
      <c r="M4" s="11"/>
      <c r="N4" s="11"/>
      <c r="O4" s="11"/>
      <c r="P4" s="11"/>
      <c r="Q4" s="11"/>
    </row>
    <row r="6" spans="1:33" ht="16.5" thickBot="1"/>
    <row r="7" spans="1:33" ht="21" thickBot="1">
      <c r="A7" s="306" t="s">
        <v>45</v>
      </c>
      <c r="B7" s="307"/>
      <c r="C7" s="308"/>
      <c r="D7" s="94"/>
      <c r="F7" s="295" t="s">
        <v>73</v>
      </c>
      <c r="G7" s="296"/>
      <c r="H7" s="297"/>
      <c r="K7" s="295" t="s">
        <v>96</v>
      </c>
      <c r="L7" s="296"/>
      <c r="M7" s="297"/>
      <c r="P7" s="295" t="s">
        <v>97</v>
      </c>
      <c r="Q7" s="296"/>
      <c r="R7" s="297"/>
      <c r="U7" s="295" t="s">
        <v>112</v>
      </c>
      <c r="V7" s="296"/>
      <c r="W7" s="297"/>
      <c r="Z7" s="295" t="s">
        <v>134</v>
      </c>
      <c r="AA7" s="296"/>
      <c r="AB7" s="297"/>
    </row>
    <row r="9" spans="1:33">
      <c r="A9" s="95" t="s">
        <v>72</v>
      </c>
      <c r="B9" s="96" t="s">
        <v>47</v>
      </c>
      <c r="C9" s="96" t="s">
        <v>46</v>
      </c>
      <c r="F9" s="17" t="s">
        <v>72</v>
      </c>
      <c r="G9" s="17" t="s">
        <v>47</v>
      </c>
      <c r="H9" s="17" t="s">
        <v>46</v>
      </c>
      <c r="K9" s="17" t="s">
        <v>72</v>
      </c>
      <c r="L9" s="17" t="s">
        <v>47</v>
      </c>
      <c r="M9" s="17" t="s">
        <v>46</v>
      </c>
      <c r="P9" s="17" t="s">
        <v>72</v>
      </c>
      <c r="Q9" s="17" t="s">
        <v>47</v>
      </c>
      <c r="R9" s="17" t="s">
        <v>46</v>
      </c>
      <c r="U9" s="17" t="s">
        <v>72</v>
      </c>
      <c r="V9" s="17" t="s">
        <v>47</v>
      </c>
      <c r="W9" s="17" t="s">
        <v>46</v>
      </c>
      <c r="Z9" s="17" t="s">
        <v>72</v>
      </c>
      <c r="AA9" s="17" t="s">
        <v>47</v>
      </c>
      <c r="AB9" s="17" t="s">
        <v>46</v>
      </c>
    </row>
    <row r="10" spans="1:33">
      <c r="A10" s="97">
        <v>1.1000000000000001</v>
      </c>
      <c r="B10" s="98" t="s">
        <v>48</v>
      </c>
      <c r="C10" s="27" t="s">
        <v>160</v>
      </c>
      <c r="F10" s="97">
        <v>1</v>
      </c>
      <c r="G10" s="98" t="s">
        <v>74</v>
      </c>
      <c r="H10" s="27" t="s">
        <v>159</v>
      </c>
      <c r="K10" s="97">
        <v>1</v>
      </c>
      <c r="L10" s="120" t="s">
        <v>161</v>
      </c>
      <c r="M10" s="27" t="s">
        <v>159</v>
      </c>
      <c r="P10" s="97">
        <v>1</v>
      </c>
      <c r="Q10" s="119" t="s">
        <v>98</v>
      </c>
      <c r="R10" s="27" t="s">
        <v>159</v>
      </c>
      <c r="U10" s="97">
        <v>1</v>
      </c>
      <c r="V10" s="119" t="s">
        <v>113</v>
      </c>
      <c r="W10" s="27" t="s">
        <v>159</v>
      </c>
      <c r="Z10" s="97">
        <v>1</v>
      </c>
      <c r="AA10" s="98" t="s">
        <v>135</v>
      </c>
      <c r="AB10" s="27" t="s">
        <v>159</v>
      </c>
    </row>
    <row r="11" spans="1:33">
      <c r="A11" s="97">
        <v>1.2</v>
      </c>
      <c r="B11" s="98" t="s">
        <v>49</v>
      </c>
      <c r="C11" s="27" t="s">
        <v>160</v>
      </c>
      <c r="F11" s="97">
        <v>2</v>
      </c>
      <c r="G11" s="98" t="s">
        <v>75</v>
      </c>
      <c r="H11" s="27" t="s">
        <v>159</v>
      </c>
      <c r="K11" s="97" t="s">
        <v>162</v>
      </c>
      <c r="L11" s="120" t="s">
        <v>165</v>
      </c>
      <c r="M11" s="27" t="s">
        <v>159</v>
      </c>
      <c r="P11" s="97">
        <v>2</v>
      </c>
      <c r="Q11" s="119" t="s">
        <v>99</v>
      </c>
      <c r="R11" s="27" t="s">
        <v>159</v>
      </c>
      <c r="U11" s="97">
        <v>2</v>
      </c>
      <c r="V11" s="119" t="s">
        <v>114</v>
      </c>
      <c r="W11" s="27" t="s">
        <v>159</v>
      </c>
      <c r="Z11" s="97">
        <v>2</v>
      </c>
      <c r="AA11" s="98" t="s">
        <v>136</v>
      </c>
      <c r="AB11" s="27" t="s">
        <v>159</v>
      </c>
    </row>
    <row r="12" spans="1:33">
      <c r="A12" s="97">
        <v>1.3</v>
      </c>
      <c r="B12" s="98" t="s">
        <v>50</v>
      </c>
      <c r="C12" s="27" t="s">
        <v>160</v>
      </c>
      <c r="F12" s="97">
        <v>3</v>
      </c>
      <c r="G12" s="98" t="s">
        <v>76</v>
      </c>
      <c r="H12" s="27" t="s">
        <v>159</v>
      </c>
      <c r="K12" s="97" t="s">
        <v>163</v>
      </c>
      <c r="L12" s="121" t="s">
        <v>164</v>
      </c>
      <c r="M12" s="27" t="s">
        <v>159</v>
      </c>
      <c r="P12" s="97">
        <v>3</v>
      </c>
      <c r="Q12" s="119" t="s">
        <v>100</v>
      </c>
      <c r="R12" s="27" t="s">
        <v>159</v>
      </c>
      <c r="U12" s="97">
        <v>3</v>
      </c>
      <c r="V12" s="119" t="s">
        <v>115</v>
      </c>
      <c r="W12" s="27" t="s">
        <v>159</v>
      </c>
      <c r="Z12" s="97">
        <v>3</v>
      </c>
      <c r="AA12" s="98" t="s">
        <v>137</v>
      </c>
      <c r="AB12" s="27" t="s">
        <v>159</v>
      </c>
    </row>
    <row r="13" spans="1:33">
      <c r="A13" s="97">
        <v>1.4</v>
      </c>
      <c r="B13" s="98" t="s">
        <v>51</v>
      </c>
      <c r="C13" s="27" t="s">
        <v>160</v>
      </c>
      <c r="F13" s="97">
        <v>4</v>
      </c>
      <c r="G13" s="98" t="s">
        <v>77</v>
      </c>
      <c r="H13" s="27" t="s">
        <v>159</v>
      </c>
      <c r="K13" s="97">
        <v>3</v>
      </c>
      <c r="L13" s="120" t="s">
        <v>166</v>
      </c>
      <c r="M13" s="27" t="s">
        <v>159</v>
      </c>
      <c r="P13" s="97">
        <v>4</v>
      </c>
      <c r="Q13" s="119" t="s">
        <v>101</v>
      </c>
      <c r="R13" s="27" t="s">
        <v>160</v>
      </c>
      <c r="U13" s="97">
        <v>4</v>
      </c>
      <c r="V13" s="119" t="s">
        <v>116</v>
      </c>
      <c r="W13" s="27" t="s">
        <v>160</v>
      </c>
      <c r="Z13" s="97">
        <v>4</v>
      </c>
      <c r="AA13" s="98" t="s">
        <v>138</v>
      </c>
      <c r="AB13" s="27" t="s">
        <v>160</v>
      </c>
    </row>
    <row r="14" spans="1:33">
      <c r="A14" s="97">
        <v>1.5</v>
      </c>
      <c r="B14" s="98" t="s">
        <v>52</v>
      </c>
      <c r="C14" s="27" t="s">
        <v>160</v>
      </c>
      <c r="F14" s="97">
        <v>5</v>
      </c>
      <c r="G14" s="98" t="s">
        <v>78</v>
      </c>
      <c r="H14" s="27" t="s">
        <v>159</v>
      </c>
      <c r="K14" s="97">
        <v>4</v>
      </c>
      <c r="L14" s="120" t="s">
        <v>167</v>
      </c>
      <c r="M14" s="27" t="s">
        <v>159</v>
      </c>
      <c r="P14" s="97">
        <v>5</v>
      </c>
      <c r="Q14" s="119" t="s">
        <v>102</v>
      </c>
      <c r="R14" s="27" t="s">
        <v>160</v>
      </c>
      <c r="U14" s="97">
        <v>5</v>
      </c>
      <c r="V14" s="119" t="s">
        <v>117</v>
      </c>
      <c r="W14" s="27" t="s">
        <v>159</v>
      </c>
      <c r="Z14" s="97">
        <v>5</v>
      </c>
      <c r="AA14" s="98" t="s">
        <v>139</v>
      </c>
      <c r="AB14" s="27" t="s">
        <v>159</v>
      </c>
    </row>
    <row r="15" spans="1:33">
      <c r="A15" s="97">
        <v>1.6</v>
      </c>
      <c r="B15" s="98" t="s">
        <v>53</v>
      </c>
      <c r="C15" s="27" t="s">
        <v>160</v>
      </c>
      <c r="F15" s="97">
        <v>6</v>
      </c>
      <c r="G15" s="98" t="s">
        <v>79</v>
      </c>
      <c r="H15" s="27" t="s">
        <v>160</v>
      </c>
      <c r="K15" s="97" t="s">
        <v>168</v>
      </c>
      <c r="L15" s="120" t="s">
        <v>174</v>
      </c>
      <c r="M15" s="27" t="s">
        <v>159</v>
      </c>
      <c r="P15" s="97">
        <v>6</v>
      </c>
      <c r="Q15" s="119" t="s">
        <v>103</v>
      </c>
      <c r="R15" s="27" t="s">
        <v>160</v>
      </c>
      <c r="U15" s="97">
        <v>6</v>
      </c>
      <c r="V15" s="119" t="s">
        <v>118</v>
      </c>
      <c r="W15" s="27" t="s">
        <v>160</v>
      </c>
      <c r="Z15" s="97">
        <v>6</v>
      </c>
      <c r="AA15" s="98" t="s">
        <v>140</v>
      </c>
      <c r="AB15" s="27" t="s">
        <v>160</v>
      </c>
    </row>
    <row r="16" spans="1:33">
      <c r="A16" s="99">
        <v>2.1</v>
      </c>
      <c r="B16" s="100" t="s">
        <v>54</v>
      </c>
      <c r="C16" s="27" t="s">
        <v>160</v>
      </c>
      <c r="F16" s="97">
        <v>7</v>
      </c>
      <c r="G16" s="98" t="s">
        <v>80</v>
      </c>
      <c r="H16" s="27" t="s">
        <v>160</v>
      </c>
      <c r="K16" s="99">
        <v>5</v>
      </c>
      <c r="L16" s="122" t="s">
        <v>169</v>
      </c>
      <c r="M16" s="27" t="s">
        <v>160</v>
      </c>
      <c r="U16" s="97">
        <v>7</v>
      </c>
      <c r="V16" s="119" t="s">
        <v>119</v>
      </c>
      <c r="W16" s="27" t="s">
        <v>160</v>
      </c>
      <c r="Z16" s="97">
        <v>7</v>
      </c>
      <c r="AA16" s="98" t="s">
        <v>141</v>
      </c>
      <c r="AB16" s="27" t="s">
        <v>160</v>
      </c>
    </row>
    <row r="17" spans="1:28">
      <c r="A17" s="99">
        <v>2.2000000000000002</v>
      </c>
      <c r="B17" s="100" t="s">
        <v>55</v>
      </c>
      <c r="C17" s="27" t="s">
        <v>160</v>
      </c>
      <c r="F17" s="97">
        <v>8</v>
      </c>
      <c r="G17" s="98" t="s">
        <v>81</v>
      </c>
      <c r="H17" s="27" t="s">
        <v>160</v>
      </c>
      <c r="K17" s="99">
        <v>6</v>
      </c>
      <c r="L17" s="122" t="s">
        <v>170</v>
      </c>
      <c r="M17" s="27" t="s">
        <v>160</v>
      </c>
      <c r="U17" s="97">
        <v>8</v>
      </c>
      <c r="V17" s="119" t="s">
        <v>120</v>
      </c>
      <c r="W17" s="27" t="s">
        <v>160</v>
      </c>
      <c r="Z17" s="97">
        <v>8</v>
      </c>
      <c r="AA17" s="98" t="s">
        <v>142</v>
      </c>
      <c r="AB17" s="27" t="s">
        <v>160</v>
      </c>
    </row>
    <row r="18" spans="1:28">
      <c r="A18" s="99">
        <v>2.2999999999999998</v>
      </c>
      <c r="B18" s="100" t="s">
        <v>56</v>
      </c>
      <c r="C18" s="27" t="s">
        <v>160</v>
      </c>
      <c r="F18" s="97">
        <v>9</v>
      </c>
      <c r="G18" s="98" t="s">
        <v>82</v>
      </c>
      <c r="H18" s="27" t="s">
        <v>160</v>
      </c>
      <c r="K18" s="99">
        <v>7</v>
      </c>
      <c r="L18" s="122" t="s">
        <v>171</v>
      </c>
      <c r="M18" s="27" t="s">
        <v>160</v>
      </c>
      <c r="U18" s="97">
        <v>9</v>
      </c>
      <c r="V18" s="119" t="s">
        <v>121</v>
      </c>
      <c r="W18" s="27" t="s">
        <v>160</v>
      </c>
      <c r="Z18" s="97">
        <v>9</v>
      </c>
      <c r="AA18" s="98" t="s">
        <v>143</v>
      </c>
      <c r="AB18" s="27" t="s">
        <v>160</v>
      </c>
    </row>
    <row r="19" spans="1:28">
      <c r="A19" s="99">
        <v>2.4</v>
      </c>
      <c r="B19" s="100" t="s">
        <v>57</v>
      </c>
      <c r="C19" s="27" t="s">
        <v>160</v>
      </c>
      <c r="F19" s="97">
        <v>10</v>
      </c>
      <c r="G19" s="98" t="s">
        <v>83</v>
      </c>
      <c r="H19" s="27" t="s">
        <v>160</v>
      </c>
      <c r="K19" s="99">
        <v>8</v>
      </c>
      <c r="L19" s="122" t="s">
        <v>172</v>
      </c>
      <c r="M19" s="27" t="s">
        <v>160</v>
      </c>
      <c r="U19" s="97">
        <v>10</v>
      </c>
      <c r="V19" s="119" t="s">
        <v>122</v>
      </c>
      <c r="W19" s="27" t="s">
        <v>160</v>
      </c>
      <c r="Z19" s="99">
        <v>1</v>
      </c>
      <c r="AA19" s="100" t="s">
        <v>144</v>
      </c>
      <c r="AB19" s="27" t="s">
        <v>159</v>
      </c>
    </row>
    <row r="20" spans="1:28">
      <c r="A20" s="99">
        <v>2.5</v>
      </c>
      <c r="B20" s="100" t="s">
        <v>58</v>
      </c>
      <c r="C20" s="27" t="s">
        <v>160</v>
      </c>
      <c r="F20" s="97">
        <v>11</v>
      </c>
      <c r="G20" s="98" t="s">
        <v>84</v>
      </c>
      <c r="H20" s="27" t="s">
        <v>160</v>
      </c>
      <c r="K20" s="99" t="s">
        <v>168</v>
      </c>
      <c r="L20" s="122" t="s">
        <v>173</v>
      </c>
      <c r="M20" s="27" t="s">
        <v>160</v>
      </c>
      <c r="Z20" s="99">
        <v>2</v>
      </c>
      <c r="AA20" s="100" t="s">
        <v>145</v>
      </c>
      <c r="AB20" s="27" t="s">
        <v>160</v>
      </c>
    </row>
    <row r="21" spans="1:28">
      <c r="A21" s="99">
        <v>2.6</v>
      </c>
      <c r="B21" s="100" t="s">
        <v>59</v>
      </c>
      <c r="C21" s="27" t="s">
        <v>160</v>
      </c>
      <c r="F21" s="99">
        <v>1</v>
      </c>
      <c r="G21" s="100" t="s">
        <v>85</v>
      </c>
      <c r="H21" s="27" t="s">
        <v>160</v>
      </c>
      <c r="K21" s="101">
        <v>9</v>
      </c>
      <c r="L21" s="123" t="s">
        <v>175</v>
      </c>
      <c r="M21" s="27" t="s">
        <v>160</v>
      </c>
      <c r="Z21" s="99">
        <v>3</v>
      </c>
      <c r="AA21" s="100" t="s">
        <v>146</v>
      </c>
      <c r="AB21" s="27" t="s">
        <v>160</v>
      </c>
    </row>
    <row r="22" spans="1:28">
      <c r="A22" s="101">
        <v>3.1</v>
      </c>
      <c r="B22" s="102" t="s">
        <v>60</v>
      </c>
      <c r="C22" s="27" t="s">
        <v>160</v>
      </c>
      <c r="F22" s="99">
        <v>2</v>
      </c>
      <c r="G22" s="100" t="s">
        <v>86</v>
      </c>
      <c r="H22" s="27" t="s">
        <v>160</v>
      </c>
      <c r="K22" s="101">
        <v>10</v>
      </c>
      <c r="L22" s="123" t="s">
        <v>176</v>
      </c>
      <c r="M22" s="27" t="s">
        <v>160</v>
      </c>
      <c r="Z22" s="99">
        <v>4</v>
      </c>
      <c r="AA22" s="100" t="s">
        <v>147</v>
      </c>
      <c r="AB22" s="27" t="s">
        <v>160</v>
      </c>
    </row>
    <row r="23" spans="1:28">
      <c r="A23" s="101">
        <v>3.2</v>
      </c>
      <c r="B23" s="102" t="s">
        <v>61</v>
      </c>
      <c r="C23" s="27" t="s">
        <v>160</v>
      </c>
      <c r="F23" s="99">
        <v>3</v>
      </c>
      <c r="G23" s="100" t="s">
        <v>87</v>
      </c>
      <c r="H23" s="27" t="s">
        <v>160</v>
      </c>
      <c r="K23" s="101">
        <v>11</v>
      </c>
      <c r="L23" s="123" t="s">
        <v>177</v>
      </c>
      <c r="M23" s="27" t="s">
        <v>160</v>
      </c>
      <c r="Z23" s="99">
        <v>5</v>
      </c>
      <c r="AA23" s="100" t="s">
        <v>148</v>
      </c>
      <c r="AB23" s="27" t="s">
        <v>160</v>
      </c>
    </row>
    <row r="24" spans="1:28">
      <c r="A24" s="101">
        <v>3.3</v>
      </c>
      <c r="B24" s="102" t="s">
        <v>62</v>
      </c>
      <c r="C24" s="27" t="s">
        <v>160</v>
      </c>
      <c r="F24" s="99">
        <v>4</v>
      </c>
      <c r="G24" s="100" t="s">
        <v>88</v>
      </c>
      <c r="H24" s="27" t="s">
        <v>160</v>
      </c>
      <c r="K24" s="101">
        <v>12</v>
      </c>
      <c r="L24" s="123" t="s">
        <v>178</v>
      </c>
      <c r="M24" s="27" t="s">
        <v>160</v>
      </c>
    </row>
    <row r="25" spans="1:28" ht="16.5" thickBot="1">
      <c r="A25" s="101">
        <v>3.4</v>
      </c>
      <c r="B25" s="102" t="s">
        <v>63</v>
      </c>
      <c r="C25" s="27" t="s">
        <v>160</v>
      </c>
      <c r="F25" s="99">
        <v>5</v>
      </c>
      <c r="G25" s="100" t="s">
        <v>89</v>
      </c>
      <c r="H25" s="27" t="s">
        <v>160</v>
      </c>
      <c r="K25" s="103" t="s">
        <v>168</v>
      </c>
      <c r="L25" s="124" t="s">
        <v>179</v>
      </c>
      <c r="M25" s="27" t="s">
        <v>160</v>
      </c>
    </row>
    <row r="26" spans="1:28" ht="16.5" thickBot="1">
      <c r="A26" s="101">
        <v>3.5</v>
      </c>
      <c r="B26" s="102" t="s">
        <v>64</v>
      </c>
      <c r="C26" s="27" t="s">
        <v>160</v>
      </c>
      <c r="F26" s="99">
        <v>6</v>
      </c>
      <c r="G26" s="100" t="s">
        <v>90</v>
      </c>
      <c r="H26" s="27" t="s">
        <v>160</v>
      </c>
      <c r="K26" s="104">
        <v>13</v>
      </c>
      <c r="L26" s="125" t="s">
        <v>180</v>
      </c>
      <c r="M26" s="56" t="s">
        <v>160</v>
      </c>
      <c r="P26" s="295" t="s">
        <v>104</v>
      </c>
      <c r="Q26" s="296"/>
      <c r="R26" s="297"/>
      <c r="U26" s="295" t="s">
        <v>123</v>
      </c>
      <c r="V26" s="296"/>
      <c r="W26" s="297"/>
      <c r="Z26" s="295" t="s">
        <v>149</v>
      </c>
      <c r="AA26" s="296"/>
      <c r="AB26" s="297"/>
    </row>
    <row r="27" spans="1:28">
      <c r="A27" s="101">
        <v>3.6</v>
      </c>
      <c r="B27" s="102" t="s">
        <v>65</v>
      </c>
      <c r="C27" s="27" t="s">
        <v>160</v>
      </c>
      <c r="F27" s="99">
        <v>7</v>
      </c>
      <c r="G27" s="100" t="s">
        <v>91</v>
      </c>
      <c r="H27" s="27" t="s">
        <v>160</v>
      </c>
      <c r="K27" s="104">
        <v>14</v>
      </c>
      <c r="L27" s="125" t="s">
        <v>181</v>
      </c>
      <c r="M27" s="58" t="s">
        <v>160</v>
      </c>
    </row>
    <row r="28" spans="1:28">
      <c r="A28" s="14">
        <v>4.0999999999999996</v>
      </c>
      <c r="B28" s="105" t="s">
        <v>66</v>
      </c>
      <c r="C28" s="27" t="s">
        <v>160</v>
      </c>
      <c r="F28" s="99">
        <v>8</v>
      </c>
      <c r="G28" s="100" t="s">
        <v>92</v>
      </c>
      <c r="H28" s="27" t="s">
        <v>160</v>
      </c>
      <c r="K28" s="104">
        <v>15</v>
      </c>
      <c r="L28" s="125" t="s">
        <v>182</v>
      </c>
      <c r="M28" s="106" t="s">
        <v>160</v>
      </c>
      <c r="P28" s="17" t="s">
        <v>72</v>
      </c>
      <c r="Q28" s="17" t="s">
        <v>47</v>
      </c>
      <c r="R28" s="17" t="s">
        <v>46</v>
      </c>
      <c r="U28" s="17" t="s">
        <v>72</v>
      </c>
      <c r="V28" s="17" t="s">
        <v>47</v>
      </c>
      <c r="W28" s="17" t="s">
        <v>46</v>
      </c>
      <c r="Z28" s="17" t="s">
        <v>72</v>
      </c>
      <c r="AA28" s="17" t="s">
        <v>47</v>
      </c>
      <c r="AB28" s="17" t="s">
        <v>46</v>
      </c>
    </row>
    <row r="29" spans="1:28">
      <c r="A29" s="14">
        <v>4.2</v>
      </c>
      <c r="B29" s="105" t="s">
        <v>67</v>
      </c>
      <c r="C29" s="27" t="s">
        <v>160</v>
      </c>
      <c r="F29" s="99">
        <v>9</v>
      </c>
      <c r="G29" s="100" t="s">
        <v>93</v>
      </c>
      <c r="H29" s="27" t="s">
        <v>160</v>
      </c>
      <c r="K29" s="104">
        <v>16</v>
      </c>
      <c r="L29" s="125" t="s">
        <v>183</v>
      </c>
      <c r="M29" s="106" t="s">
        <v>160</v>
      </c>
      <c r="P29" s="99">
        <v>1</v>
      </c>
      <c r="Q29" s="100" t="s">
        <v>105</v>
      </c>
      <c r="R29" s="27" t="s">
        <v>159</v>
      </c>
      <c r="U29" s="97">
        <v>1</v>
      </c>
      <c r="V29" s="119" t="s">
        <v>124</v>
      </c>
      <c r="W29" s="27" t="s">
        <v>159</v>
      </c>
      <c r="Z29" s="97">
        <v>1</v>
      </c>
      <c r="AA29" s="119" t="s">
        <v>150</v>
      </c>
      <c r="AB29" s="27" t="s">
        <v>159</v>
      </c>
    </row>
    <row r="30" spans="1:28">
      <c r="A30" s="14">
        <v>4.3</v>
      </c>
      <c r="B30" s="105" t="s">
        <v>68</v>
      </c>
      <c r="C30" s="27" t="s">
        <v>160</v>
      </c>
      <c r="F30" s="99">
        <v>10</v>
      </c>
      <c r="G30" s="100" t="s">
        <v>94</v>
      </c>
      <c r="H30" s="27" t="s">
        <v>160</v>
      </c>
      <c r="K30" s="104" t="s">
        <v>168</v>
      </c>
      <c r="L30" s="107" t="s">
        <v>184</v>
      </c>
      <c r="M30" s="108" t="s">
        <v>160</v>
      </c>
      <c r="P30" s="99">
        <v>2</v>
      </c>
      <c r="Q30" s="100" t="s">
        <v>106</v>
      </c>
      <c r="R30" s="27" t="s">
        <v>159</v>
      </c>
      <c r="U30" s="97">
        <v>2</v>
      </c>
      <c r="V30" s="119" t="s">
        <v>125</v>
      </c>
      <c r="W30" s="27" t="s">
        <v>159</v>
      </c>
      <c r="Z30" s="97">
        <v>2</v>
      </c>
      <c r="AA30" s="119" t="s">
        <v>151</v>
      </c>
      <c r="AB30" s="27" t="s">
        <v>159</v>
      </c>
    </row>
    <row r="31" spans="1:28">
      <c r="A31" s="14">
        <v>4.4000000000000004</v>
      </c>
      <c r="B31" s="105" t="s">
        <v>69</v>
      </c>
      <c r="C31" s="27" t="s">
        <v>160</v>
      </c>
      <c r="F31" s="99">
        <v>11</v>
      </c>
      <c r="G31" s="100" t="s">
        <v>95</v>
      </c>
      <c r="H31" s="27" t="s">
        <v>160</v>
      </c>
      <c r="L31" s="34"/>
      <c r="P31" s="99">
        <v>3</v>
      </c>
      <c r="Q31" s="100" t="s">
        <v>107</v>
      </c>
      <c r="R31" s="27" t="s">
        <v>160</v>
      </c>
      <c r="U31" s="97">
        <v>3</v>
      </c>
      <c r="V31" s="119" t="s">
        <v>126</v>
      </c>
      <c r="W31" s="27" t="s">
        <v>160</v>
      </c>
      <c r="Z31" s="97">
        <v>3</v>
      </c>
      <c r="AA31" s="119" t="s">
        <v>152</v>
      </c>
      <c r="AB31" s="27" t="s">
        <v>160</v>
      </c>
    </row>
    <row r="32" spans="1:28">
      <c r="A32" s="14">
        <v>4.5</v>
      </c>
      <c r="B32" s="105" t="s">
        <v>70</v>
      </c>
      <c r="C32" s="27" t="s">
        <v>160</v>
      </c>
      <c r="L32" s="34"/>
      <c r="P32" s="99">
        <v>4</v>
      </c>
      <c r="Q32" s="100" t="s">
        <v>108</v>
      </c>
      <c r="R32" s="27" t="s">
        <v>160</v>
      </c>
      <c r="U32" s="97">
        <v>4</v>
      </c>
      <c r="V32" s="119" t="s">
        <v>127</v>
      </c>
      <c r="W32" s="27" t="s">
        <v>159</v>
      </c>
      <c r="Z32" s="97">
        <v>4</v>
      </c>
      <c r="AA32" s="119" t="s">
        <v>153</v>
      </c>
      <c r="AB32" s="27" t="s">
        <v>159</v>
      </c>
    </row>
    <row r="33" spans="1:28">
      <c r="A33" s="14">
        <v>4.5999999999999996</v>
      </c>
      <c r="B33" s="105" t="s">
        <v>71</v>
      </c>
      <c r="C33" s="27" t="s">
        <v>160</v>
      </c>
      <c r="P33" s="99">
        <v>5</v>
      </c>
      <c r="Q33" s="100" t="s">
        <v>109</v>
      </c>
      <c r="R33" s="27" t="s">
        <v>159</v>
      </c>
      <c r="U33" s="97">
        <v>5</v>
      </c>
      <c r="V33" s="119" t="s">
        <v>128</v>
      </c>
      <c r="W33" s="27" t="s">
        <v>159</v>
      </c>
      <c r="Z33" s="97">
        <v>5</v>
      </c>
      <c r="AA33" s="119" t="s">
        <v>154</v>
      </c>
      <c r="AB33" s="27" t="s">
        <v>159</v>
      </c>
    </row>
    <row r="34" spans="1:28">
      <c r="P34" s="99">
        <v>6</v>
      </c>
      <c r="Q34" s="100" t="s">
        <v>110</v>
      </c>
      <c r="R34" s="27" t="s">
        <v>160</v>
      </c>
      <c r="U34" s="97">
        <v>6</v>
      </c>
      <c r="V34" s="119" t="s">
        <v>129</v>
      </c>
      <c r="W34" s="27" t="s">
        <v>160</v>
      </c>
      <c r="Z34" s="97">
        <v>6</v>
      </c>
      <c r="AA34" s="119" t="s">
        <v>155</v>
      </c>
      <c r="AB34" s="27" t="s">
        <v>160</v>
      </c>
    </row>
    <row r="35" spans="1:28">
      <c r="P35" s="99">
        <v>7</v>
      </c>
      <c r="Q35" s="100" t="s">
        <v>111</v>
      </c>
      <c r="R35" s="27" t="s">
        <v>160</v>
      </c>
      <c r="U35" s="97">
        <v>7</v>
      </c>
      <c r="V35" s="119" t="s">
        <v>130</v>
      </c>
      <c r="W35" s="27" t="s">
        <v>160</v>
      </c>
      <c r="Z35" s="97">
        <v>7</v>
      </c>
      <c r="AA35" s="119" t="s">
        <v>156</v>
      </c>
      <c r="AB35" s="27" t="s">
        <v>160</v>
      </c>
    </row>
    <row r="36" spans="1:28" ht="16.5" thickBot="1">
      <c r="U36" s="97">
        <v>8</v>
      </c>
      <c r="V36" s="119" t="s">
        <v>131</v>
      </c>
      <c r="W36" s="27" t="s">
        <v>160</v>
      </c>
      <c r="Z36" s="97">
        <v>8</v>
      </c>
      <c r="AA36" s="119" t="s">
        <v>157</v>
      </c>
      <c r="AB36" s="27" t="s">
        <v>160</v>
      </c>
    </row>
    <row r="37" spans="1:28" ht="16.5" thickBot="1">
      <c r="F37" s="303" t="s">
        <v>345</v>
      </c>
      <c r="G37" s="304"/>
      <c r="H37" s="305"/>
      <c r="K37" s="303" t="s">
        <v>327</v>
      </c>
      <c r="L37" s="304"/>
      <c r="M37" s="305"/>
      <c r="U37" s="97">
        <v>9</v>
      </c>
      <c r="V37" s="119" t="s">
        <v>132</v>
      </c>
      <c r="W37" s="27" t="s">
        <v>160</v>
      </c>
      <c r="Z37" s="97">
        <v>9</v>
      </c>
      <c r="AA37" s="119" t="s">
        <v>158</v>
      </c>
      <c r="AB37" s="27" t="s">
        <v>160</v>
      </c>
    </row>
    <row r="38" spans="1:28">
      <c r="U38" s="97">
        <v>10</v>
      </c>
      <c r="V38" s="119" t="s">
        <v>133</v>
      </c>
      <c r="W38" s="27" t="s">
        <v>160</v>
      </c>
    </row>
    <row r="39" spans="1:28">
      <c r="F39" s="17" t="s">
        <v>20</v>
      </c>
      <c r="G39" s="17" t="s">
        <v>328</v>
      </c>
      <c r="H39" s="17" t="s">
        <v>46</v>
      </c>
      <c r="K39" s="17" t="s">
        <v>20</v>
      </c>
      <c r="L39" s="17" t="s">
        <v>328</v>
      </c>
      <c r="M39" s="17" t="s">
        <v>46</v>
      </c>
    </row>
    <row r="40" spans="1:28">
      <c r="F40" s="16">
        <v>1</v>
      </c>
      <c r="G40" s="16" t="s">
        <v>347</v>
      </c>
      <c r="H40" s="27" t="s">
        <v>159</v>
      </c>
      <c r="K40" s="16">
        <v>1</v>
      </c>
      <c r="L40" s="16" t="s">
        <v>330</v>
      </c>
      <c r="M40" s="27" t="s">
        <v>160</v>
      </c>
    </row>
    <row r="41" spans="1:28">
      <c r="F41" s="16">
        <v>2</v>
      </c>
      <c r="G41" s="16" t="s">
        <v>348</v>
      </c>
      <c r="H41" s="27" t="s">
        <v>160</v>
      </c>
      <c r="K41" s="16">
        <v>2</v>
      </c>
      <c r="L41" s="16" t="s">
        <v>331</v>
      </c>
      <c r="M41" s="27" t="s">
        <v>160</v>
      </c>
    </row>
    <row r="42" spans="1:28">
      <c r="F42" s="16">
        <v>3</v>
      </c>
      <c r="G42" s="16" t="s">
        <v>349</v>
      </c>
      <c r="H42" s="27" t="s">
        <v>160</v>
      </c>
      <c r="K42" s="16">
        <v>3</v>
      </c>
      <c r="L42" s="16" t="s">
        <v>329</v>
      </c>
      <c r="M42" s="27" t="s">
        <v>160</v>
      </c>
    </row>
    <row r="43" spans="1:28">
      <c r="F43" s="16">
        <v>4</v>
      </c>
      <c r="G43" s="16" t="s">
        <v>350</v>
      </c>
      <c r="H43" s="27" t="s">
        <v>160</v>
      </c>
      <c r="K43" s="16">
        <v>4</v>
      </c>
      <c r="L43" s="16" t="s">
        <v>332</v>
      </c>
      <c r="M43" s="27" t="s">
        <v>160</v>
      </c>
    </row>
    <row r="44" spans="1:28">
      <c r="F44" s="16">
        <v>5</v>
      </c>
      <c r="G44" s="16" t="s">
        <v>351</v>
      </c>
      <c r="H44" s="27" t="s">
        <v>160</v>
      </c>
      <c r="K44" s="16">
        <v>5</v>
      </c>
      <c r="L44" s="16" t="s">
        <v>333</v>
      </c>
      <c r="M44" s="27" t="s">
        <v>160</v>
      </c>
    </row>
    <row r="45" spans="1:28">
      <c r="F45" s="16">
        <v>6</v>
      </c>
      <c r="G45" s="16" t="s">
        <v>352</v>
      </c>
      <c r="H45" s="27" t="s">
        <v>159</v>
      </c>
      <c r="K45" s="16">
        <v>6</v>
      </c>
      <c r="L45" s="16" t="s">
        <v>334</v>
      </c>
      <c r="M45" s="27" t="s">
        <v>160</v>
      </c>
    </row>
    <row r="46" spans="1:28">
      <c r="F46" s="16">
        <v>7</v>
      </c>
      <c r="G46" s="16" t="s">
        <v>353</v>
      </c>
      <c r="H46" s="27" t="s">
        <v>159</v>
      </c>
      <c r="K46" s="16">
        <v>7</v>
      </c>
      <c r="L46" s="16" t="s">
        <v>335</v>
      </c>
      <c r="M46" s="27" t="s">
        <v>160</v>
      </c>
    </row>
    <row r="47" spans="1:28">
      <c r="F47" s="16">
        <v>8</v>
      </c>
      <c r="G47" s="16" t="s">
        <v>354</v>
      </c>
      <c r="H47" s="27" t="s">
        <v>160</v>
      </c>
      <c r="K47" s="16">
        <v>8</v>
      </c>
      <c r="L47" s="16" t="s">
        <v>336</v>
      </c>
      <c r="M47" s="27" t="s">
        <v>160</v>
      </c>
    </row>
    <row r="48" spans="1:28">
      <c r="F48" s="16">
        <v>9</v>
      </c>
      <c r="G48" s="16" t="s">
        <v>355</v>
      </c>
      <c r="H48" s="27" t="s">
        <v>160</v>
      </c>
      <c r="K48" s="16">
        <v>9</v>
      </c>
      <c r="L48" s="16" t="s">
        <v>337</v>
      </c>
      <c r="M48" s="27" t="s">
        <v>160</v>
      </c>
    </row>
    <row r="49" spans="6:13">
      <c r="F49" s="16">
        <v>10</v>
      </c>
      <c r="G49" s="16" t="s">
        <v>356</v>
      </c>
      <c r="H49" s="27" t="s">
        <v>160</v>
      </c>
    </row>
    <row r="50" spans="6:13">
      <c r="F50" s="16">
        <v>11</v>
      </c>
      <c r="G50" s="16" t="s">
        <v>357</v>
      </c>
      <c r="H50" s="27" t="s">
        <v>160</v>
      </c>
    </row>
    <row r="52" spans="6:13" ht="16.5" thickBot="1"/>
    <row r="53" spans="6:13" ht="16.5" thickBot="1">
      <c r="F53" s="303" t="s">
        <v>346</v>
      </c>
      <c r="G53" s="304"/>
      <c r="H53" s="305"/>
      <c r="K53" s="303" t="s">
        <v>338</v>
      </c>
      <c r="L53" s="304"/>
      <c r="M53" s="305"/>
    </row>
    <row r="55" spans="6:13">
      <c r="F55" s="17" t="s">
        <v>20</v>
      </c>
      <c r="G55" s="17" t="s">
        <v>328</v>
      </c>
      <c r="H55" s="17" t="s">
        <v>46</v>
      </c>
      <c r="K55" s="17" t="s">
        <v>20</v>
      </c>
      <c r="L55" s="17" t="s">
        <v>328</v>
      </c>
      <c r="M55" s="17" t="s">
        <v>46</v>
      </c>
    </row>
    <row r="56" spans="6:13">
      <c r="F56" s="16">
        <v>1</v>
      </c>
      <c r="G56" s="16" t="s">
        <v>358</v>
      </c>
      <c r="H56" s="27" t="s">
        <v>160</v>
      </c>
      <c r="K56" s="16">
        <v>1</v>
      </c>
      <c r="L56" s="16" t="s">
        <v>343</v>
      </c>
      <c r="M56" s="27" t="s">
        <v>160</v>
      </c>
    </row>
    <row r="57" spans="6:13">
      <c r="F57" s="16">
        <v>2</v>
      </c>
      <c r="G57" s="16" t="s">
        <v>359</v>
      </c>
      <c r="H57" s="27" t="s">
        <v>160</v>
      </c>
      <c r="K57" s="16">
        <v>2</v>
      </c>
      <c r="L57" s="16" t="s">
        <v>344</v>
      </c>
      <c r="M57" s="27" t="s">
        <v>160</v>
      </c>
    </row>
    <row r="58" spans="6:13">
      <c r="F58" s="16">
        <v>3</v>
      </c>
      <c r="G58" s="16" t="s">
        <v>360</v>
      </c>
      <c r="H58" s="27" t="s">
        <v>160</v>
      </c>
      <c r="K58" s="16">
        <v>3</v>
      </c>
      <c r="L58" s="16" t="s">
        <v>340</v>
      </c>
      <c r="M58" s="27" t="s">
        <v>160</v>
      </c>
    </row>
    <row r="59" spans="6:13">
      <c r="F59" s="16">
        <v>4</v>
      </c>
      <c r="G59" s="16" t="s">
        <v>361</v>
      </c>
      <c r="H59" s="27" t="s">
        <v>160</v>
      </c>
      <c r="K59" s="16">
        <v>4</v>
      </c>
      <c r="L59" s="16" t="s">
        <v>341</v>
      </c>
      <c r="M59" s="27" t="s">
        <v>160</v>
      </c>
    </row>
    <row r="60" spans="6:13">
      <c r="F60" s="16">
        <v>5</v>
      </c>
      <c r="G60" s="16" t="s">
        <v>362</v>
      </c>
      <c r="H60" s="27" t="s">
        <v>160</v>
      </c>
      <c r="K60" s="16">
        <v>5</v>
      </c>
      <c r="L60" s="16" t="s">
        <v>342</v>
      </c>
      <c r="M60" s="27" t="s">
        <v>160</v>
      </c>
    </row>
    <row r="61" spans="6:13">
      <c r="F61" s="16" t="s">
        <v>199</v>
      </c>
      <c r="G61" s="16" t="s">
        <v>199</v>
      </c>
      <c r="H61" s="16" t="s">
        <v>199</v>
      </c>
      <c r="K61" s="16">
        <v>6</v>
      </c>
      <c r="L61" s="16" t="s">
        <v>339</v>
      </c>
      <c r="M61" s="27" t="s">
        <v>160</v>
      </c>
    </row>
  </sheetData>
  <sheetProtection formatCells="0" formatColumns="0" formatRows="0" insertColumns="0" insertRows="0" insertHyperlinks="0" deleteColumns="0" deleteRows="0" sort="0" autoFilter="0" pivotTables="0"/>
  <mergeCells count="14">
    <mergeCell ref="U26:W26"/>
    <mergeCell ref="Z7:AB7"/>
    <mergeCell ref="Z26:AB26"/>
    <mergeCell ref="U7:W7"/>
    <mergeCell ref="F37:H37"/>
    <mergeCell ref="F53:H53"/>
    <mergeCell ref="A1:R3"/>
    <mergeCell ref="A7:C7"/>
    <mergeCell ref="F7:H7"/>
    <mergeCell ref="K7:M7"/>
    <mergeCell ref="P7:R7"/>
    <mergeCell ref="P26:R26"/>
    <mergeCell ref="K37:M37"/>
    <mergeCell ref="K53:M53"/>
  </mergeCells>
  <phoneticPr fontId="4" type="noConversion"/>
  <conditionalFormatting sqref="C10:C33">
    <cfRule type="containsText" dxfId="140" priority="34" operator="containsText" text="Y">
      <formula>NOT(ISERROR(SEARCH("Y",C10)))</formula>
    </cfRule>
    <cfRule type="containsText" dxfId="139" priority="33" operator="containsText" text="N">
      <formula>NOT(ISERROR(SEARCH("N",C10)))</formula>
    </cfRule>
  </conditionalFormatting>
  <conditionalFormatting sqref="H10:H31">
    <cfRule type="containsText" dxfId="138" priority="32" operator="containsText" text="Y">
      <formula>NOT(ISERROR(SEARCH("Y",H10)))</formula>
    </cfRule>
    <cfRule type="containsText" dxfId="137" priority="31" operator="containsText" text="N">
      <formula>NOT(ISERROR(SEARCH("N",H10)))</formula>
    </cfRule>
  </conditionalFormatting>
  <conditionalFormatting sqref="H40:H50">
    <cfRule type="beginsWith" dxfId="136" priority="1" operator="beginsWith" text="N">
      <formula>LEFT(H40,LEN("N"))="N"</formula>
    </cfRule>
    <cfRule type="beginsWith" dxfId="135" priority="2" operator="beginsWith" text="Y">
      <formula>LEFT(H40,LEN("Y"))="Y"</formula>
    </cfRule>
  </conditionalFormatting>
  <conditionalFormatting sqref="H56:H61 H73:H74">
    <cfRule type="beginsWith" dxfId="134" priority="3" operator="beginsWith" text="N">
      <formula>LEFT(H56,LEN("N"))="N"</formula>
    </cfRule>
  </conditionalFormatting>
  <conditionalFormatting sqref="H56:H61">
    <cfRule type="beginsWith" dxfId="133" priority="4" operator="beginsWith" text="Y">
      <formula>LEFT(H56,LEN("Y"))="Y"</formula>
    </cfRule>
  </conditionalFormatting>
  <conditionalFormatting sqref="M10:M30">
    <cfRule type="containsText" dxfId="132" priority="29" operator="containsText" text="N">
      <formula>NOT(ISERROR(SEARCH("N",M10)))</formula>
    </cfRule>
    <cfRule type="containsText" dxfId="131" priority="30" operator="containsText" text="Y">
      <formula>NOT(ISERROR(SEARCH("Y",M10)))</formula>
    </cfRule>
  </conditionalFormatting>
  <conditionalFormatting sqref="M40:M48 M56:M61">
    <cfRule type="beginsWith" dxfId="130" priority="10" operator="beginsWith" text="Y">
      <formula>LEFT(M40,LEN("Y"))="Y"</formula>
    </cfRule>
    <cfRule type="beginsWith" dxfId="129" priority="9" operator="beginsWith" text="N">
      <formula>LEFT(M40,LEN("N"))="N"</formula>
    </cfRule>
  </conditionalFormatting>
  <conditionalFormatting sqref="R10:R15">
    <cfRule type="containsText" dxfId="128" priority="27" operator="containsText" text="N">
      <formula>NOT(ISERROR(SEARCH("N",R10)))</formula>
    </cfRule>
    <cfRule type="containsText" dxfId="127" priority="28" operator="containsText" text="Y">
      <formula>NOT(ISERROR(SEARCH("Y",R10)))</formula>
    </cfRule>
  </conditionalFormatting>
  <conditionalFormatting sqref="R29:R35">
    <cfRule type="containsText" dxfId="126" priority="15" operator="containsText" text="N">
      <formula>NOT(ISERROR(SEARCH("N",R29)))</formula>
    </cfRule>
    <cfRule type="containsText" dxfId="125" priority="16" operator="containsText" text="Y">
      <formula>NOT(ISERROR(SEARCH("Y",R29)))</formula>
    </cfRule>
  </conditionalFormatting>
  <conditionalFormatting sqref="W10:W19">
    <cfRule type="containsText" dxfId="124" priority="23" operator="containsText" text="N">
      <formula>NOT(ISERROR(SEARCH("N",W10)))</formula>
    </cfRule>
    <cfRule type="containsText" dxfId="123" priority="24" operator="containsText" text="Y">
      <formula>NOT(ISERROR(SEARCH("Y",W10)))</formula>
    </cfRule>
  </conditionalFormatting>
  <conditionalFormatting sqref="W29:W38">
    <cfRule type="containsText" dxfId="122" priority="22" operator="containsText" text="Y">
      <formula>NOT(ISERROR(SEARCH("Y",W29)))</formula>
    </cfRule>
    <cfRule type="containsText" dxfId="121" priority="21" operator="containsText" text="N">
      <formula>NOT(ISERROR(SEARCH("N",W29)))</formula>
    </cfRule>
  </conditionalFormatting>
  <conditionalFormatting sqref="AB10:AB23">
    <cfRule type="containsText" dxfId="120" priority="13" operator="containsText" text="N">
      <formula>NOT(ISERROR(SEARCH("N",AB10)))</formula>
    </cfRule>
    <cfRule type="containsText" dxfId="119" priority="14" operator="containsText" text="Y">
      <formula>NOT(ISERROR(SEARCH("Y",AB10)))</formula>
    </cfRule>
  </conditionalFormatting>
  <conditionalFormatting sqref="AB29:AB37">
    <cfRule type="containsText" dxfId="118" priority="11" operator="containsText" text="N">
      <formula>NOT(ISERROR(SEARCH("N",AB29)))</formula>
    </cfRule>
    <cfRule type="containsText" dxfId="117" priority="12" operator="containsText" text="Y">
      <formula>NOT(ISERROR(SEARCH("Y",AB29)))</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81C42-601C-4CA1-B6E4-49EBD5C1CD00}">
  <sheetPr codeName="Sheet11">
    <tabColor rgb="FFFFC000"/>
  </sheetPr>
  <dimension ref="A1:Q42"/>
  <sheetViews>
    <sheetView zoomScale="85" zoomScaleNormal="85" workbookViewId="0">
      <selection sqref="A1:L3"/>
    </sheetView>
  </sheetViews>
  <sheetFormatPr defaultColWidth="9.140625" defaultRowHeight="15.75"/>
  <cols>
    <col min="1" max="1" width="8.5703125" style="3" bestFit="1" customWidth="1"/>
    <col min="2" max="2" width="28.28515625" style="7" bestFit="1" customWidth="1"/>
    <col min="3" max="3" width="16" style="3" bestFit="1" customWidth="1"/>
    <col min="4" max="4" width="18.7109375" style="3" customWidth="1"/>
    <col min="5" max="5" width="47.140625" style="3" bestFit="1" customWidth="1"/>
    <col min="6" max="6" width="12.7109375" style="3" customWidth="1"/>
    <col min="7" max="7" width="14.7109375" style="3" customWidth="1"/>
    <col min="8" max="8" width="9.140625" style="3"/>
    <col min="9" max="9" width="15.5703125" style="3" bestFit="1" customWidth="1"/>
    <col min="10" max="10" width="16.42578125" style="3" bestFit="1" customWidth="1"/>
    <col min="11" max="16384" width="9.140625" style="3"/>
  </cols>
  <sheetData>
    <row r="1" spans="1:17" ht="15.75" customHeight="1">
      <c r="A1" s="245" t="s">
        <v>285</v>
      </c>
      <c r="B1" s="245"/>
      <c r="C1" s="245"/>
      <c r="D1" s="245"/>
      <c r="E1" s="245"/>
      <c r="F1" s="245"/>
      <c r="G1" s="245"/>
      <c r="H1" s="245"/>
      <c r="I1" s="245"/>
      <c r="J1" s="245"/>
      <c r="K1" s="245"/>
      <c r="L1" s="245"/>
      <c r="M1" s="2"/>
      <c r="N1" s="2"/>
      <c r="O1" s="2"/>
      <c r="P1" s="2"/>
      <c r="Q1" s="2"/>
    </row>
    <row r="2" spans="1:17" ht="15.75" customHeight="1">
      <c r="A2" s="245"/>
      <c r="B2" s="245"/>
      <c r="C2" s="245"/>
      <c r="D2" s="245"/>
      <c r="E2" s="245"/>
      <c r="F2" s="245"/>
      <c r="G2" s="245"/>
      <c r="H2" s="245"/>
      <c r="I2" s="245"/>
      <c r="J2" s="245"/>
      <c r="K2" s="245"/>
      <c r="L2" s="245"/>
      <c r="M2" s="2"/>
      <c r="N2" s="2"/>
      <c r="O2" s="2"/>
      <c r="P2" s="2"/>
      <c r="Q2" s="2"/>
    </row>
    <row r="3" spans="1:17" ht="15.75" customHeight="1">
      <c r="A3" s="245"/>
      <c r="B3" s="245"/>
      <c r="C3" s="245"/>
      <c r="D3" s="245"/>
      <c r="E3" s="245"/>
      <c r="F3" s="245"/>
      <c r="G3" s="245"/>
      <c r="H3" s="245"/>
      <c r="I3" s="245"/>
      <c r="J3" s="245"/>
      <c r="K3" s="245"/>
      <c r="L3" s="245"/>
      <c r="M3" s="2"/>
      <c r="N3" s="2"/>
      <c r="O3" s="2"/>
      <c r="P3" s="2"/>
      <c r="Q3" s="2"/>
    </row>
    <row r="6" spans="1:17">
      <c r="A6" s="4" t="s">
        <v>20</v>
      </c>
      <c r="B6" s="6" t="s">
        <v>271</v>
      </c>
      <c r="C6" s="4" t="s">
        <v>276</v>
      </c>
      <c r="D6" s="4" t="s">
        <v>272</v>
      </c>
      <c r="E6" s="4" t="s">
        <v>273</v>
      </c>
      <c r="F6" s="4" t="s">
        <v>274</v>
      </c>
      <c r="G6" s="4" t="s">
        <v>275</v>
      </c>
      <c r="I6" s="4" t="s">
        <v>252</v>
      </c>
      <c r="J6" s="4" t="s">
        <v>225</v>
      </c>
    </row>
    <row r="7" spans="1:17">
      <c r="A7" s="315">
        <v>1</v>
      </c>
      <c r="B7" s="319">
        <v>46218</v>
      </c>
      <c r="C7" s="315" t="s">
        <v>277</v>
      </c>
      <c r="D7" s="315" t="s">
        <v>278</v>
      </c>
      <c r="E7" s="1" t="s">
        <v>105</v>
      </c>
      <c r="F7" s="315">
        <v>40</v>
      </c>
      <c r="G7" s="315" t="s">
        <v>279</v>
      </c>
      <c r="I7" s="309">
        <v>30</v>
      </c>
      <c r="J7" s="312">
        <f>I7/F7</f>
        <v>0.75</v>
      </c>
    </row>
    <row r="8" spans="1:17">
      <c r="A8" s="315"/>
      <c r="B8" s="319"/>
      <c r="C8" s="315"/>
      <c r="D8" s="315"/>
      <c r="E8" s="1" t="s">
        <v>106</v>
      </c>
      <c r="F8" s="315"/>
      <c r="G8" s="315"/>
      <c r="I8" s="311"/>
      <c r="J8" s="314"/>
    </row>
    <row r="9" spans="1:17">
      <c r="A9" s="315">
        <v>2</v>
      </c>
      <c r="B9" s="319">
        <v>46221</v>
      </c>
      <c r="C9" s="315" t="s">
        <v>280</v>
      </c>
      <c r="D9" s="315" t="s">
        <v>112</v>
      </c>
      <c r="E9" s="1" t="str">
        <f>'10th std syllabus'!V10</f>
        <v>Gravitation</v>
      </c>
      <c r="F9" s="315">
        <v>40</v>
      </c>
      <c r="G9" s="315" t="s">
        <v>279</v>
      </c>
      <c r="I9" s="309">
        <v>27</v>
      </c>
      <c r="J9" s="312">
        <f>I9/F9</f>
        <v>0.67500000000000004</v>
      </c>
    </row>
    <row r="10" spans="1:17">
      <c r="A10" s="315"/>
      <c r="B10" s="319"/>
      <c r="C10" s="315"/>
      <c r="D10" s="315"/>
      <c r="E10" s="1" t="str">
        <f>'10th std syllabus'!V11</f>
        <v>Periodic Classification of Element</v>
      </c>
      <c r="F10" s="315"/>
      <c r="G10" s="315"/>
      <c r="I10" s="310"/>
      <c r="J10" s="313"/>
    </row>
    <row r="11" spans="1:17">
      <c r="A11" s="315"/>
      <c r="B11" s="319"/>
      <c r="C11" s="315"/>
      <c r="D11" s="315"/>
      <c r="E11" s="1" t="str">
        <f>'10th std syllabus'!V12</f>
        <v>Chemical reactions and equations</v>
      </c>
      <c r="F11" s="315"/>
      <c r="G11" s="315"/>
      <c r="I11" s="311"/>
      <c r="J11" s="314"/>
    </row>
    <row r="12" spans="1:17">
      <c r="A12" s="315">
        <v>3</v>
      </c>
      <c r="B12" s="319">
        <v>46223</v>
      </c>
      <c r="C12" s="315" t="s">
        <v>283</v>
      </c>
      <c r="D12" s="315" t="s">
        <v>284</v>
      </c>
      <c r="E12" s="1" t="s">
        <v>98</v>
      </c>
      <c r="F12" s="315">
        <v>40</v>
      </c>
      <c r="G12" s="315" t="s">
        <v>279</v>
      </c>
      <c r="I12" s="309">
        <v>20.5</v>
      </c>
      <c r="J12" s="312">
        <f>I12/F12</f>
        <v>0.51249999999999996</v>
      </c>
    </row>
    <row r="13" spans="1:17">
      <c r="A13" s="315"/>
      <c r="B13" s="319"/>
      <c r="C13" s="315"/>
      <c r="D13" s="315"/>
      <c r="E13" s="1" t="s">
        <v>99</v>
      </c>
      <c r="F13" s="315"/>
      <c r="G13" s="315"/>
      <c r="I13" s="311"/>
      <c r="J13" s="314"/>
    </row>
    <row r="14" spans="1:17">
      <c r="A14" s="315">
        <v>4</v>
      </c>
      <c r="B14" s="319">
        <v>46225</v>
      </c>
      <c r="C14" s="315" t="s">
        <v>277</v>
      </c>
      <c r="D14" s="315" t="s">
        <v>149</v>
      </c>
      <c r="E14" s="1" t="str">
        <f>'10th std syllabus'!AA29</f>
        <v>Field Visit</v>
      </c>
      <c r="F14" s="315">
        <v>22</v>
      </c>
      <c r="G14" s="315" t="s">
        <v>282</v>
      </c>
      <c r="I14" s="309">
        <v>15</v>
      </c>
      <c r="J14" s="312">
        <f>I14/F14</f>
        <v>0.68181818181818177</v>
      </c>
    </row>
    <row r="15" spans="1:17">
      <c r="A15" s="315"/>
      <c r="B15" s="319"/>
      <c r="C15" s="315"/>
      <c r="D15" s="315"/>
      <c r="E15" s="1" t="str">
        <f>'10th std syllabus'!AA30</f>
        <v>Location and Extent</v>
      </c>
      <c r="F15" s="315"/>
      <c r="G15" s="315"/>
      <c r="I15" s="310"/>
      <c r="J15" s="313"/>
    </row>
    <row r="16" spans="1:17">
      <c r="A16" s="315"/>
      <c r="B16" s="319"/>
      <c r="C16" s="315"/>
      <c r="D16" s="315"/>
      <c r="E16" s="1" t="str">
        <f>'10th std syllabus'!AA32</f>
        <v>Climate</v>
      </c>
      <c r="F16" s="315"/>
      <c r="G16" s="315"/>
      <c r="I16" s="311"/>
      <c r="J16" s="314"/>
    </row>
    <row r="17" spans="1:10">
      <c r="A17" s="315">
        <v>5</v>
      </c>
      <c r="B17" s="319">
        <v>46228</v>
      </c>
      <c r="C17" s="315" t="s">
        <v>280</v>
      </c>
      <c r="D17" s="315" t="s">
        <v>123</v>
      </c>
      <c r="E17" s="1" t="str">
        <f>'10th std syllabus'!V29</f>
        <v>Heredity and Evolution</v>
      </c>
      <c r="F17" s="315">
        <v>40</v>
      </c>
      <c r="G17" s="315" t="s">
        <v>279</v>
      </c>
      <c r="I17" s="309">
        <v>33</v>
      </c>
      <c r="J17" s="312">
        <f>I17/F17</f>
        <v>0.82499999999999996</v>
      </c>
    </row>
    <row r="18" spans="1:10">
      <c r="A18" s="315"/>
      <c r="B18" s="319"/>
      <c r="C18" s="315"/>
      <c r="D18" s="315"/>
      <c r="E18" s="1" t="str">
        <f>'10th std syllabus'!V30</f>
        <v>Life Processes in Living Organisms Part -1</v>
      </c>
      <c r="F18" s="315"/>
      <c r="G18" s="315"/>
      <c r="I18" s="310"/>
      <c r="J18" s="313"/>
    </row>
    <row r="19" spans="1:10">
      <c r="A19" s="315"/>
      <c r="B19" s="319"/>
      <c r="C19" s="315"/>
      <c r="D19" s="315"/>
      <c r="E19" s="1" t="str">
        <f>'10th std syllabus'!V32</f>
        <v>Environmental management</v>
      </c>
      <c r="F19" s="315"/>
      <c r="G19" s="315"/>
      <c r="I19" s="311"/>
      <c r="J19" s="314"/>
    </row>
    <row r="20" spans="1:10">
      <c r="A20" s="315">
        <v>6</v>
      </c>
      <c r="B20" s="319">
        <v>46230</v>
      </c>
      <c r="C20" s="315" t="s">
        <v>283</v>
      </c>
      <c r="D20" s="315" t="s">
        <v>281</v>
      </c>
      <c r="E20" s="1" t="s">
        <v>135</v>
      </c>
      <c r="F20" s="315">
        <v>30</v>
      </c>
      <c r="G20" s="315" t="s">
        <v>282</v>
      </c>
      <c r="I20" s="309">
        <v>29</v>
      </c>
      <c r="J20" s="312">
        <f>I20/F20</f>
        <v>0.96666666666666667</v>
      </c>
    </row>
    <row r="21" spans="1:10">
      <c r="A21" s="315"/>
      <c r="B21" s="319"/>
      <c r="C21" s="315"/>
      <c r="D21" s="315"/>
      <c r="E21" s="1" t="s">
        <v>136</v>
      </c>
      <c r="F21" s="315"/>
      <c r="G21" s="315"/>
      <c r="I21" s="311"/>
      <c r="J21" s="314"/>
    </row>
    <row r="24" spans="1:10">
      <c r="A24" s="4" t="s">
        <v>20</v>
      </c>
      <c r="B24" s="6" t="s">
        <v>271</v>
      </c>
      <c r="C24" s="4" t="s">
        <v>276</v>
      </c>
      <c r="D24" s="4" t="s">
        <v>272</v>
      </c>
      <c r="E24" s="4" t="s">
        <v>273</v>
      </c>
      <c r="F24" s="4" t="s">
        <v>274</v>
      </c>
      <c r="G24" s="4" t="s">
        <v>275</v>
      </c>
      <c r="I24" s="4" t="s">
        <v>252</v>
      </c>
      <c r="J24" s="4" t="s">
        <v>225</v>
      </c>
    </row>
    <row r="25" spans="1:10">
      <c r="A25" s="309">
        <v>1</v>
      </c>
      <c r="B25" s="316">
        <v>46244</v>
      </c>
      <c r="C25" s="309" t="s">
        <v>283</v>
      </c>
      <c r="D25" s="309" t="s">
        <v>112</v>
      </c>
      <c r="E25" s="1" t="str">
        <f>'10th std syllabus'!V11</f>
        <v>Periodic Classification of Element</v>
      </c>
      <c r="F25" s="309">
        <v>20</v>
      </c>
      <c r="G25" s="309" t="s">
        <v>297</v>
      </c>
      <c r="I25" s="309">
        <v>18</v>
      </c>
      <c r="J25" s="312">
        <f>I25/F25</f>
        <v>0.9</v>
      </c>
    </row>
    <row r="26" spans="1:10">
      <c r="A26" s="310"/>
      <c r="B26" s="317"/>
      <c r="C26" s="310"/>
      <c r="D26" s="310"/>
      <c r="E26" s="1" t="str">
        <f>'10th std syllabus'!V14</f>
        <v>Heat</v>
      </c>
      <c r="F26" s="310"/>
      <c r="G26" s="310"/>
      <c r="I26" s="310"/>
      <c r="J26" s="313"/>
    </row>
    <row r="27" spans="1:10">
      <c r="A27" s="311"/>
      <c r="B27" s="318"/>
      <c r="C27" s="311"/>
      <c r="D27" s="311"/>
      <c r="E27" s="1" t="s">
        <v>199</v>
      </c>
      <c r="F27" s="311"/>
      <c r="G27" s="311"/>
      <c r="I27" s="311"/>
      <c r="J27" s="314"/>
    </row>
    <row r="28" spans="1:10">
      <c r="A28" s="315">
        <v>2</v>
      </c>
      <c r="B28" s="319">
        <v>46246</v>
      </c>
      <c r="C28" s="315" t="s">
        <v>277</v>
      </c>
      <c r="D28" s="315" t="s">
        <v>123</v>
      </c>
      <c r="E28" s="1" t="str">
        <f>'10th std syllabus'!V33</f>
        <v>Towards Green Energy</v>
      </c>
      <c r="F28" s="315">
        <v>20</v>
      </c>
      <c r="G28" s="315" t="s">
        <v>297</v>
      </c>
      <c r="I28" s="309">
        <v>16</v>
      </c>
      <c r="J28" s="312">
        <f>I28/F28</f>
        <v>0.8</v>
      </c>
    </row>
    <row r="29" spans="1:10">
      <c r="A29" s="315"/>
      <c r="B29" s="319"/>
      <c r="C29" s="315"/>
      <c r="D29" s="315"/>
      <c r="E29" s="1" t="str">
        <f>'10th std syllabus'!V32</f>
        <v>Environmental management</v>
      </c>
      <c r="F29" s="315"/>
      <c r="G29" s="315"/>
      <c r="I29" s="310"/>
      <c r="J29" s="313"/>
    </row>
    <row r="30" spans="1:10">
      <c r="A30" s="315"/>
      <c r="B30" s="319"/>
      <c r="C30" s="315"/>
      <c r="D30" s="315"/>
      <c r="E30" s="1" t="s">
        <v>199</v>
      </c>
      <c r="F30" s="315"/>
      <c r="G30" s="315"/>
      <c r="I30" s="311"/>
      <c r="J30" s="314"/>
    </row>
    <row r="31" spans="1:10">
      <c r="A31" s="309">
        <v>3</v>
      </c>
      <c r="B31" s="316">
        <v>46248</v>
      </c>
      <c r="C31" s="309" t="s">
        <v>301</v>
      </c>
      <c r="D31" s="309" t="s">
        <v>284</v>
      </c>
      <c r="E31" s="1" t="str">
        <f>'10th std syllabus'!Q10</f>
        <v>Linear Equations in Two Variables</v>
      </c>
      <c r="F31" s="309">
        <v>40</v>
      </c>
      <c r="G31" s="309" t="s">
        <v>298</v>
      </c>
      <c r="I31" s="309">
        <v>28</v>
      </c>
      <c r="J31" s="312">
        <f>I31/F31</f>
        <v>0.7</v>
      </c>
    </row>
    <row r="32" spans="1:10">
      <c r="A32" s="310"/>
      <c r="B32" s="317"/>
      <c r="C32" s="310"/>
      <c r="D32" s="310"/>
      <c r="E32" s="1" t="str">
        <f>'10th std syllabus'!Q11</f>
        <v>Quadratic Equations</v>
      </c>
      <c r="F32" s="310"/>
      <c r="G32" s="310"/>
      <c r="I32" s="310"/>
      <c r="J32" s="313"/>
    </row>
    <row r="33" spans="1:10">
      <c r="A33" s="311"/>
      <c r="B33" s="318"/>
      <c r="C33" s="311"/>
      <c r="D33" s="311"/>
      <c r="E33" s="1" t="str">
        <f>'10th std syllabus'!Q12</f>
        <v>Arithmetic Progression</v>
      </c>
      <c r="F33" s="311"/>
      <c r="G33" s="311"/>
      <c r="I33" s="311"/>
      <c r="J33" s="314"/>
    </row>
    <row r="34" spans="1:10">
      <c r="A34" s="315">
        <v>4</v>
      </c>
      <c r="B34" s="319">
        <v>46251</v>
      </c>
      <c r="C34" s="315" t="s">
        <v>283</v>
      </c>
      <c r="D34" s="315" t="s">
        <v>278</v>
      </c>
      <c r="E34" s="1" t="str">
        <f>'10th std syllabus'!Q29</f>
        <v>Similarity</v>
      </c>
      <c r="F34" s="315">
        <v>40</v>
      </c>
      <c r="G34" s="315" t="s">
        <v>298</v>
      </c>
      <c r="I34" s="309"/>
      <c r="J34" s="312">
        <f>I34/F34</f>
        <v>0</v>
      </c>
    </row>
    <row r="35" spans="1:10">
      <c r="A35" s="315"/>
      <c r="B35" s="319"/>
      <c r="C35" s="315"/>
      <c r="D35" s="315"/>
      <c r="E35" s="1" t="str">
        <f>'10th std syllabus'!Q30</f>
        <v>Pythagoras Theorem</v>
      </c>
      <c r="F35" s="315"/>
      <c r="G35" s="315"/>
      <c r="I35" s="310"/>
      <c r="J35" s="313"/>
    </row>
    <row r="36" spans="1:10">
      <c r="A36" s="315"/>
      <c r="B36" s="319"/>
      <c r="C36" s="315"/>
      <c r="D36" s="315"/>
      <c r="E36" s="1" t="str">
        <f>'10th std syllabus'!Q33</f>
        <v>Co-Ordinate Geometry</v>
      </c>
      <c r="F36" s="315"/>
      <c r="G36" s="315"/>
      <c r="I36" s="311"/>
      <c r="J36" s="314"/>
    </row>
    <row r="37" spans="1:10">
      <c r="A37" s="315">
        <v>5</v>
      </c>
      <c r="B37" s="319">
        <v>46253</v>
      </c>
      <c r="C37" s="315" t="s">
        <v>277</v>
      </c>
      <c r="D37" s="315" t="s">
        <v>281</v>
      </c>
      <c r="E37" s="1" t="str">
        <f>'10th std syllabus'!AA12</f>
        <v>Applied History</v>
      </c>
      <c r="F37" s="315">
        <v>25</v>
      </c>
      <c r="G37" s="315" t="s">
        <v>299</v>
      </c>
      <c r="I37" s="309"/>
      <c r="J37" s="312">
        <f>I37/F37</f>
        <v>0</v>
      </c>
    </row>
    <row r="38" spans="1:10">
      <c r="A38" s="315"/>
      <c r="B38" s="319"/>
      <c r="C38" s="315"/>
      <c r="D38" s="315"/>
      <c r="E38" s="1" t="str">
        <f>'10th std syllabus'!AA14</f>
        <v>Mass Media and History</v>
      </c>
      <c r="F38" s="315"/>
      <c r="G38" s="315"/>
      <c r="I38" s="310"/>
      <c r="J38" s="313"/>
    </row>
    <row r="39" spans="1:10">
      <c r="A39" s="315"/>
      <c r="B39" s="319"/>
      <c r="C39" s="315"/>
      <c r="D39" s="315"/>
      <c r="E39" s="1" t="str">
        <f>'10th std syllabus'!AA19</f>
        <v>Working of the Constitution</v>
      </c>
      <c r="F39" s="315"/>
      <c r="G39" s="315"/>
      <c r="I39" s="311"/>
      <c r="J39" s="314"/>
    </row>
    <row r="40" spans="1:10">
      <c r="A40" s="309">
        <v>6</v>
      </c>
      <c r="B40" s="316">
        <v>46256</v>
      </c>
      <c r="C40" s="309" t="s">
        <v>280</v>
      </c>
      <c r="D40" s="309" t="s">
        <v>149</v>
      </c>
      <c r="E40" s="1" t="str">
        <f>'10th std syllabus'!AA29</f>
        <v>Field Visit</v>
      </c>
      <c r="F40" s="309">
        <v>30</v>
      </c>
      <c r="G40" s="309" t="s">
        <v>300</v>
      </c>
      <c r="I40" s="309"/>
      <c r="J40" s="312">
        <f>I40/F40</f>
        <v>0</v>
      </c>
    </row>
    <row r="41" spans="1:10">
      <c r="A41" s="310"/>
      <c r="B41" s="317"/>
      <c r="C41" s="310"/>
      <c r="D41" s="310"/>
      <c r="E41" s="1" t="str">
        <f>'10th std syllabus'!AA33</f>
        <v>Natural Vegetation and Wildlife</v>
      </c>
      <c r="F41" s="310"/>
      <c r="G41" s="310"/>
      <c r="I41" s="310"/>
      <c r="J41" s="313"/>
    </row>
    <row r="42" spans="1:10">
      <c r="A42" s="311"/>
      <c r="B42" s="318"/>
      <c r="C42" s="311"/>
      <c r="D42" s="311"/>
      <c r="E42" s="1" t="str">
        <f>'10th std syllabus'!AA32</f>
        <v>Climate</v>
      </c>
      <c r="F42" s="311"/>
      <c r="G42" s="311"/>
      <c r="I42" s="311"/>
      <c r="J42" s="314"/>
    </row>
  </sheetData>
  <mergeCells count="97">
    <mergeCell ref="F7:F8"/>
    <mergeCell ref="G7:G8"/>
    <mergeCell ref="B9:B11"/>
    <mergeCell ref="C9:C11"/>
    <mergeCell ref="D9:D11"/>
    <mergeCell ref="A7:A8"/>
    <mergeCell ref="B7:B8"/>
    <mergeCell ref="C7:C8"/>
    <mergeCell ref="D7:D8"/>
    <mergeCell ref="G20:G21"/>
    <mergeCell ref="F14:F16"/>
    <mergeCell ref="G14:G16"/>
    <mergeCell ref="A17:A19"/>
    <mergeCell ref="B17:B19"/>
    <mergeCell ref="A14:A16"/>
    <mergeCell ref="B14:B16"/>
    <mergeCell ref="C14:C16"/>
    <mergeCell ref="D14:D16"/>
    <mergeCell ref="A20:A21"/>
    <mergeCell ref="B20:B21"/>
    <mergeCell ref="C20:C21"/>
    <mergeCell ref="D20:D21"/>
    <mergeCell ref="F20:F21"/>
    <mergeCell ref="I7:I8"/>
    <mergeCell ref="J7:J8"/>
    <mergeCell ref="A1:L3"/>
    <mergeCell ref="C17:C19"/>
    <mergeCell ref="D17:D19"/>
    <mergeCell ref="F17:F19"/>
    <mergeCell ref="G17:G19"/>
    <mergeCell ref="F9:F11"/>
    <mergeCell ref="G9:G11"/>
    <mergeCell ref="A12:A13"/>
    <mergeCell ref="B12:B13"/>
    <mergeCell ref="C12:C13"/>
    <mergeCell ref="D12:D13"/>
    <mergeCell ref="F12:F13"/>
    <mergeCell ref="G12:G13"/>
    <mergeCell ref="A9:A11"/>
    <mergeCell ref="J9:J11"/>
    <mergeCell ref="J12:J13"/>
    <mergeCell ref="J14:J16"/>
    <mergeCell ref="J17:J19"/>
    <mergeCell ref="J20:J21"/>
    <mergeCell ref="I9:I11"/>
    <mergeCell ref="I12:I13"/>
    <mergeCell ref="I14:I16"/>
    <mergeCell ref="I17:I19"/>
    <mergeCell ref="I20:I21"/>
    <mergeCell ref="B31:B33"/>
    <mergeCell ref="C31:C33"/>
    <mergeCell ref="D31:D33"/>
    <mergeCell ref="F31:F33"/>
    <mergeCell ref="A28:A30"/>
    <mergeCell ref="B28:B30"/>
    <mergeCell ref="C28:C30"/>
    <mergeCell ref="D28:D30"/>
    <mergeCell ref="F28:F30"/>
    <mergeCell ref="D37:D39"/>
    <mergeCell ref="F37:F39"/>
    <mergeCell ref="G37:G39"/>
    <mergeCell ref="A34:A36"/>
    <mergeCell ref="B34:B36"/>
    <mergeCell ref="C34:C36"/>
    <mergeCell ref="D34:D36"/>
    <mergeCell ref="F34:F36"/>
    <mergeCell ref="G34:G36"/>
    <mergeCell ref="F40:F42"/>
    <mergeCell ref="G40:G42"/>
    <mergeCell ref="A25:A27"/>
    <mergeCell ref="B25:B27"/>
    <mergeCell ref="C25:C27"/>
    <mergeCell ref="D25:D27"/>
    <mergeCell ref="F25:F27"/>
    <mergeCell ref="G25:G27"/>
    <mergeCell ref="A31:A33"/>
    <mergeCell ref="A40:A42"/>
    <mergeCell ref="B40:B42"/>
    <mergeCell ref="C40:C42"/>
    <mergeCell ref="D40:D42"/>
    <mergeCell ref="A37:A39"/>
    <mergeCell ref="B37:B39"/>
    <mergeCell ref="C37:C39"/>
    <mergeCell ref="G31:G33"/>
    <mergeCell ref="I25:I27"/>
    <mergeCell ref="I28:I30"/>
    <mergeCell ref="I31:I33"/>
    <mergeCell ref="I34:I36"/>
    <mergeCell ref="G28:G30"/>
    <mergeCell ref="I40:I42"/>
    <mergeCell ref="J25:J27"/>
    <mergeCell ref="J28:J30"/>
    <mergeCell ref="J31:J33"/>
    <mergeCell ref="J34:J36"/>
    <mergeCell ref="J37:J39"/>
    <mergeCell ref="J40:J42"/>
    <mergeCell ref="I37:I39"/>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CCC4-D9B0-4A6F-B4CA-6D8997E6FEAA}">
  <sheetPr codeName="Sheet13">
    <tabColor theme="0" tint="-0.34998626667073579"/>
  </sheetPr>
  <dimension ref="A1:W52"/>
  <sheetViews>
    <sheetView workbookViewId="0">
      <selection activeCell="A25" sqref="A25"/>
    </sheetView>
  </sheetViews>
  <sheetFormatPr defaultColWidth="22.7109375" defaultRowHeight="15"/>
  <cols>
    <col min="1" max="1" width="23.42578125" style="15" bestFit="1" customWidth="1"/>
    <col min="2" max="2" width="22.5703125" style="15" bestFit="1" customWidth="1"/>
    <col min="3" max="3" width="7.7109375" style="15" bestFit="1" customWidth="1"/>
    <col min="4" max="4" width="14.140625" style="15" bestFit="1" customWidth="1"/>
    <col min="5" max="5" width="16.28515625" style="15" bestFit="1" customWidth="1"/>
    <col min="6" max="6" width="21.42578125" style="15" bestFit="1" customWidth="1"/>
    <col min="7" max="7" width="13.7109375" style="15" bestFit="1" customWidth="1"/>
    <col min="8" max="8" width="11.28515625" style="15" bestFit="1" customWidth="1"/>
    <col min="9" max="9" width="16.28515625" style="15" bestFit="1" customWidth="1"/>
    <col min="10" max="10" width="10.140625" style="15" bestFit="1" customWidth="1"/>
    <col min="11" max="11" width="16.28515625" style="15" bestFit="1" customWidth="1"/>
    <col min="12" max="12" width="10.140625" style="15" bestFit="1" customWidth="1"/>
    <col min="13" max="13" width="16.28515625" style="15" bestFit="1" customWidth="1"/>
    <col min="14" max="14" width="10.140625" style="15" bestFit="1" customWidth="1"/>
    <col min="15" max="15" width="16.28515625" style="15" bestFit="1" customWidth="1"/>
    <col min="16" max="16" width="10.140625" style="15" bestFit="1" customWidth="1"/>
    <col min="17" max="17" width="16.28515625" style="15" bestFit="1" customWidth="1"/>
    <col min="18" max="18" width="10.140625" style="15" bestFit="1" customWidth="1"/>
    <col min="19" max="19" width="16.28515625" style="15" bestFit="1" customWidth="1"/>
    <col min="20" max="20" width="12" style="15" bestFit="1" customWidth="1"/>
    <col min="21" max="21" width="18.28515625" style="15" bestFit="1" customWidth="1"/>
    <col min="22" max="23" width="14.140625" style="15" bestFit="1" customWidth="1"/>
    <col min="24" max="16384" width="22.7109375" style="15"/>
  </cols>
  <sheetData>
    <row r="1" spans="1:17" ht="15.75">
      <c r="D1" s="9"/>
      <c r="E1" s="9"/>
    </row>
    <row r="3" spans="1:17" ht="15.75">
      <c r="A3" s="133" t="s">
        <v>374</v>
      </c>
      <c r="B3" s="133" t="s">
        <v>373</v>
      </c>
      <c r="C3" s="9"/>
      <c r="D3" s="9"/>
      <c r="F3"/>
      <c r="G3"/>
      <c r="H3"/>
      <c r="I3"/>
      <c r="J3"/>
      <c r="K3"/>
    </row>
    <row r="4" spans="1:17" ht="15.75">
      <c r="A4" s="133" t="s">
        <v>371</v>
      </c>
      <c r="B4" s="9" t="s">
        <v>190</v>
      </c>
      <c r="C4" s="9" t="s">
        <v>226</v>
      </c>
      <c r="D4" s="9" t="s">
        <v>372</v>
      </c>
      <c r="F4"/>
      <c r="G4"/>
      <c r="H4"/>
      <c r="I4"/>
      <c r="J4"/>
      <c r="K4"/>
    </row>
    <row r="5" spans="1:17" ht="15.75">
      <c r="A5" s="9" t="s">
        <v>186</v>
      </c>
      <c r="B5" s="9">
        <v>8</v>
      </c>
      <c r="C5" s="9">
        <v>1</v>
      </c>
      <c r="D5" s="9">
        <v>9</v>
      </c>
      <c r="F5"/>
      <c r="G5" s="131" t="s">
        <v>377</v>
      </c>
      <c r="H5"/>
      <c r="I5"/>
      <c r="J5"/>
      <c r="K5"/>
    </row>
    <row r="6" spans="1:17" ht="15.75">
      <c r="A6" s="9" t="s">
        <v>188</v>
      </c>
      <c r="B6" s="9">
        <v>7</v>
      </c>
      <c r="C6" s="9"/>
      <c r="D6" s="9">
        <v>7</v>
      </c>
      <c r="F6"/>
      <c r="G6" t="s">
        <v>226</v>
      </c>
      <c r="H6" t="s">
        <v>372</v>
      </c>
      <c r="I6"/>
      <c r="J6"/>
      <c r="K6"/>
    </row>
    <row r="7" spans="1:17" ht="15.75">
      <c r="A7" s="9" t="s">
        <v>200</v>
      </c>
      <c r="B7" s="9">
        <v>4</v>
      </c>
      <c r="C7" s="9">
        <v>1</v>
      </c>
      <c r="D7" s="9">
        <v>5</v>
      </c>
      <c r="F7" t="s">
        <v>376</v>
      </c>
      <c r="G7">
        <v>3050</v>
      </c>
      <c r="H7">
        <v>3050</v>
      </c>
      <c r="I7"/>
      <c r="J7"/>
      <c r="K7"/>
    </row>
    <row r="8" spans="1:17" ht="15.75">
      <c r="A8" s="9" t="s">
        <v>198</v>
      </c>
      <c r="B8" s="9">
        <v>9</v>
      </c>
      <c r="C8" s="9"/>
      <c r="D8" s="9">
        <v>9</v>
      </c>
      <c r="F8"/>
      <c r="G8"/>
      <c r="H8"/>
      <c r="I8"/>
      <c r="J8"/>
      <c r="K8"/>
    </row>
    <row r="9" spans="1:17" ht="15.75">
      <c r="A9" s="9" t="s">
        <v>187</v>
      </c>
      <c r="B9" s="9">
        <v>11</v>
      </c>
      <c r="C9" s="9"/>
      <c r="D9" s="9">
        <v>11</v>
      </c>
    </row>
    <row r="10" spans="1:17" ht="15.75">
      <c r="A10" s="9" t="s">
        <v>195</v>
      </c>
      <c r="B10" s="9">
        <v>1</v>
      </c>
      <c r="C10" s="9">
        <v>1</v>
      </c>
      <c r="D10" s="9">
        <v>2</v>
      </c>
    </row>
    <row r="11" spans="1:17" ht="15.75">
      <c r="A11" s="9" t="s">
        <v>372</v>
      </c>
      <c r="B11" s="9">
        <v>40</v>
      </c>
      <c r="C11" s="9">
        <v>3</v>
      </c>
      <c r="D11" s="9">
        <v>43</v>
      </c>
    </row>
    <row r="12" spans="1:17">
      <c r="A12"/>
      <c r="B12"/>
      <c r="C12"/>
      <c r="D12"/>
    </row>
    <row r="13" spans="1:17">
      <c r="A13"/>
      <c r="B13"/>
      <c r="C13"/>
      <c r="D13"/>
    </row>
    <row r="14" spans="1:17">
      <c r="A14"/>
      <c r="B14"/>
      <c r="C14"/>
      <c r="D14"/>
      <c r="F14"/>
      <c r="G14"/>
      <c r="H14"/>
      <c r="I14"/>
      <c r="J14"/>
      <c r="K14"/>
      <c r="L14"/>
      <c r="M14"/>
      <c r="N14"/>
      <c r="O14"/>
      <c r="P14"/>
      <c r="Q14"/>
    </row>
    <row r="15" spans="1:17">
      <c r="A15"/>
      <c r="B15"/>
      <c r="C15"/>
      <c r="D15"/>
      <c r="F15"/>
      <c r="G15"/>
      <c r="H15"/>
      <c r="I15"/>
      <c r="J15"/>
      <c r="K15"/>
      <c r="L15"/>
      <c r="M15"/>
      <c r="N15"/>
      <c r="O15"/>
      <c r="P15"/>
      <c r="Q15"/>
    </row>
    <row r="16" spans="1:17">
      <c r="A16"/>
      <c r="B16"/>
      <c r="C16"/>
      <c r="D16"/>
      <c r="F16"/>
      <c r="G16"/>
      <c r="H16"/>
      <c r="I16"/>
      <c r="J16"/>
      <c r="K16"/>
      <c r="L16"/>
      <c r="M16"/>
      <c r="N16"/>
      <c r="O16"/>
      <c r="P16"/>
      <c r="Q16"/>
    </row>
    <row r="17" spans="1:23">
      <c r="F17"/>
      <c r="G17"/>
      <c r="H17"/>
      <c r="I17"/>
      <c r="J17"/>
      <c r="K17"/>
      <c r="L17"/>
      <c r="M17"/>
      <c r="N17"/>
      <c r="O17"/>
      <c r="P17"/>
      <c r="Q17"/>
    </row>
    <row r="18" spans="1:23">
      <c r="F18"/>
      <c r="G18"/>
      <c r="H18"/>
      <c r="I18"/>
      <c r="J18"/>
      <c r="K18"/>
      <c r="L18"/>
      <c r="M18"/>
      <c r="N18"/>
      <c r="O18"/>
      <c r="P18"/>
      <c r="Q18"/>
    </row>
    <row r="19" spans="1:23">
      <c r="F19"/>
      <c r="G19"/>
      <c r="H19"/>
      <c r="I19"/>
      <c r="J19"/>
      <c r="K19"/>
      <c r="L19"/>
      <c r="M19"/>
      <c r="N19"/>
      <c r="O19"/>
      <c r="P19"/>
    </row>
    <row r="20" spans="1:23">
      <c r="F20"/>
      <c r="G20"/>
      <c r="H20"/>
      <c r="I20"/>
      <c r="J20"/>
      <c r="K20"/>
      <c r="L20"/>
      <c r="M20"/>
      <c r="N20"/>
      <c r="O20"/>
      <c r="P20"/>
    </row>
    <row r="21" spans="1:23">
      <c r="F21"/>
      <c r="G21"/>
      <c r="H21"/>
      <c r="I21"/>
      <c r="J21"/>
      <c r="K21"/>
      <c r="L21"/>
      <c r="M21"/>
      <c r="N21"/>
      <c r="O21"/>
      <c r="P21"/>
    </row>
    <row r="22" spans="1:23">
      <c r="F22"/>
      <c r="G22"/>
      <c r="H22"/>
      <c r="I22"/>
      <c r="J22"/>
      <c r="K22"/>
      <c r="L22"/>
      <c r="M22"/>
      <c r="N22"/>
      <c r="O22"/>
      <c r="P22"/>
    </row>
    <row r="23" spans="1:23">
      <c r="A23"/>
      <c r="B23"/>
      <c r="F23"/>
      <c r="G23"/>
      <c r="H23"/>
      <c r="I23"/>
      <c r="J23"/>
      <c r="K23"/>
      <c r="L23"/>
      <c r="M23"/>
      <c r="N23"/>
      <c r="O23"/>
      <c r="P23"/>
    </row>
    <row r="24" spans="1:23">
      <c r="F24"/>
      <c r="G24"/>
      <c r="H24"/>
      <c r="I24"/>
      <c r="J24"/>
      <c r="K24"/>
      <c r="L24"/>
      <c r="M24"/>
      <c r="N24"/>
      <c r="O24"/>
      <c r="P24"/>
    </row>
    <row r="25" spans="1:23">
      <c r="A25" s="134" t="s">
        <v>375</v>
      </c>
      <c r="B25" s="134" t="s">
        <v>373</v>
      </c>
      <c r="E25"/>
      <c r="F25"/>
      <c r="G25"/>
      <c r="H25"/>
      <c r="I25"/>
      <c r="J25"/>
      <c r="K25"/>
      <c r="L25"/>
      <c r="M25"/>
      <c r="N25"/>
      <c r="O25"/>
      <c r="P25"/>
      <c r="Q25"/>
      <c r="R25"/>
      <c r="S25"/>
      <c r="T25"/>
      <c r="U25"/>
      <c r="V25"/>
      <c r="W25"/>
    </row>
    <row r="26" spans="1:23">
      <c r="A26" s="134" t="s">
        <v>371</v>
      </c>
      <c r="B26" s="15" t="s">
        <v>205</v>
      </c>
      <c r="C26" s="15" t="s">
        <v>236</v>
      </c>
      <c r="D26" s="15" t="s">
        <v>372</v>
      </c>
      <c r="E26"/>
      <c r="F26"/>
      <c r="G26"/>
      <c r="H26"/>
      <c r="I26"/>
      <c r="J26"/>
      <c r="K26"/>
      <c r="L26"/>
      <c r="M26"/>
      <c r="N26"/>
      <c r="O26"/>
      <c r="P26"/>
      <c r="Q26"/>
      <c r="R26"/>
      <c r="S26"/>
      <c r="T26"/>
      <c r="U26"/>
      <c r="V26"/>
      <c r="W26"/>
    </row>
    <row r="27" spans="1:23">
      <c r="A27" s="15" t="s">
        <v>186</v>
      </c>
      <c r="B27" s="15">
        <v>200</v>
      </c>
      <c r="C27" s="15">
        <v>350</v>
      </c>
      <c r="D27" s="15">
        <v>550</v>
      </c>
      <c r="E27"/>
      <c r="F27"/>
      <c r="G27"/>
      <c r="H27"/>
      <c r="I27"/>
      <c r="J27"/>
      <c r="K27"/>
      <c r="L27"/>
      <c r="M27"/>
      <c r="N27"/>
      <c r="O27"/>
      <c r="P27"/>
      <c r="Q27"/>
      <c r="R27"/>
      <c r="S27"/>
      <c r="T27"/>
      <c r="U27"/>
      <c r="V27"/>
      <c r="W27"/>
    </row>
    <row r="28" spans="1:23">
      <c r="A28" s="15" t="s">
        <v>195</v>
      </c>
      <c r="C28" s="15">
        <v>1200</v>
      </c>
      <c r="D28" s="15">
        <v>1200</v>
      </c>
      <c r="E28"/>
      <c r="F28"/>
      <c r="G28"/>
      <c r="H28"/>
      <c r="I28"/>
      <c r="J28"/>
      <c r="K28"/>
      <c r="L28"/>
      <c r="M28"/>
      <c r="N28"/>
      <c r="O28"/>
      <c r="P28"/>
      <c r="Q28"/>
      <c r="R28"/>
      <c r="S28"/>
      <c r="T28"/>
      <c r="U28"/>
      <c r="V28"/>
      <c r="W28"/>
    </row>
    <row r="29" spans="1:23">
      <c r="A29" s="15" t="s">
        <v>188</v>
      </c>
      <c r="B29" s="15">
        <v>450</v>
      </c>
      <c r="C29" s="15">
        <v>1050</v>
      </c>
      <c r="D29" s="15">
        <v>1500</v>
      </c>
      <c r="E29"/>
      <c r="F29"/>
      <c r="G29"/>
      <c r="H29"/>
      <c r="I29"/>
      <c r="J29"/>
      <c r="K29"/>
      <c r="L29"/>
      <c r="M29"/>
      <c r="N29"/>
      <c r="O29"/>
      <c r="P29"/>
      <c r="Q29"/>
      <c r="R29"/>
      <c r="S29"/>
      <c r="T29"/>
      <c r="U29"/>
      <c r="V29"/>
      <c r="W29"/>
    </row>
    <row r="30" spans="1:23">
      <c r="A30" s="15" t="s">
        <v>200</v>
      </c>
      <c r="B30" s="15">
        <v>250</v>
      </c>
      <c r="C30" s="15">
        <v>550</v>
      </c>
      <c r="D30" s="15">
        <v>800</v>
      </c>
      <c r="E30"/>
      <c r="F30"/>
      <c r="G30"/>
      <c r="H30"/>
      <c r="I30"/>
      <c r="J30"/>
      <c r="K30"/>
      <c r="L30"/>
      <c r="M30"/>
      <c r="N30"/>
      <c r="O30"/>
      <c r="P30"/>
      <c r="Q30"/>
      <c r="R30"/>
      <c r="S30"/>
      <c r="T30"/>
      <c r="U30"/>
      <c r="V30"/>
    </row>
    <row r="31" spans="1:23">
      <c r="A31" s="15" t="s">
        <v>198</v>
      </c>
      <c r="B31" s="15">
        <v>2050</v>
      </c>
      <c r="C31" s="15">
        <v>250</v>
      </c>
      <c r="D31" s="15">
        <v>2300</v>
      </c>
      <c r="E31"/>
      <c r="F31"/>
      <c r="G31"/>
      <c r="H31"/>
      <c r="I31"/>
      <c r="J31"/>
      <c r="K31"/>
      <c r="L31"/>
      <c r="M31"/>
      <c r="N31"/>
      <c r="O31"/>
      <c r="P31"/>
      <c r="Q31"/>
      <c r="R31"/>
      <c r="S31"/>
      <c r="T31"/>
      <c r="U31"/>
      <c r="V31"/>
    </row>
    <row r="32" spans="1:23">
      <c r="A32" s="15" t="s">
        <v>187</v>
      </c>
      <c r="B32" s="15">
        <v>3350</v>
      </c>
      <c r="C32" s="15">
        <v>400</v>
      </c>
      <c r="D32" s="15">
        <v>3750</v>
      </c>
      <c r="E32"/>
      <c r="F32"/>
      <c r="G32"/>
      <c r="H32"/>
      <c r="I32"/>
      <c r="J32"/>
      <c r="K32"/>
      <c r="L32"/>
      <c r="M32"/>
      <c r="N32"/>
      <c r="O32"/>
      <c r="P32"/>
      <c r="Q32"/>
      <c r="R32"/>
      <c r="S32"/>
      <c r="T32"/>
      <c r="U32"/>
      <c r="V32"/>
    </row>
    <row r="33" spans="1:22">
      <c r="A33" s="15" t="s">
        <v>197</v>
      </c>
      <c r="B33" s="15">
        <v>2500</v>
      </c>
      <c r="C33" s="15">
        <v>500</v>
      </c>
      <c r="D33" s="15">
        <v>3000</v>
      </c>
      <c r="E33"/>
      <c r="F33"/>
      <c r="G33"/>
      <c r="H33"/>
      <c r="I33"/>
      <c r="J33"/>
      <c r="K33"/>
      <c r="L33"/>
      <c r="M33"/>
      <c r="N33"/>
      <c r="O33"/>
      <c r="P33"/>
      <c r="Q33"/>
      <c r="R33"/>
      <c r="S33"/>
      <c r="T33"/>
      <c r="U33"/>
      <c r="V33"/>
    </row>
    <row r="34" spans="1:22">
      <c r="A34" s="15" t="s">
        <v>194</v>
      </c>
      <c r="C34" s="15">
        <v>600</v>
      </c>
      <c r="D34" s="15">
        <v>600</v>
      </c>
      <c r="E34"/>
      <c r="F34"/>
      <c r="G34"/>
      <c r="H34"/>
      <c r="I34"/>
      <c r="J34"/>
      <c r="K34"/>
      <c r="L34"/>
      <c r="M34"/>
      <c r="N34"/>
      <c r="O34"/>
      <c r="P34"/>
      <c r="Q34"/>
      <c r="R34"/>
      <c r="S34"/>
      <c r="T34"/>
      <c r="U34"/>
      <c r="V34"/>
    </row>
    <row r="35" spans="1:22">
      <c r="A35" s="15" t="s">
        <v>189</v>
      </c>
      <c r="B35" s="15">
        <v>1600</v>
      </c>
      <c r="C35" s="15">
        <v>800</v>
      </c>
      <c r="D35" s="15">
        <v>2400</v>
      </c>
      <c r="E35"/>
      <c r="F35"/>
      <c r="G35"/>
      <c r="H35"/>
      <c r="I35"/>
      <c r="J35"/>
      <c r="K35"/>
      <c r="L35"/>
      <c r="M35"/>
      <c r="N35"/>
      <c r="O35"/>
      <c r="P35"/>
      <c r="Q35"/>
      <c r="R35"/>
      <c r="S35"/>
      <c r="T35"/>
      <c r="U35"/>
      <c r="V35"/>
    </row>
    <row r="36" spans="1:22">
      <c r="A36" s="15" t="s">
        <v>193</v>
      </c>
      <c r="B36" s="15">
        <v>900</v>
      </c>
      <c r="C36" s="15">
        <v>900</v>
      </c>
      <c r="D36" s="15">
        <v>1800</v>
      </c>
      <c r="E36"/>
      <c r="F36"/>
      <c r="G36"/>
      <c r="H36"/>
      <c r="I36"/>
      <c r="J36"/>
      <c r="K36"/>
      <c r="L36"/>
      <c r="M36"/>
      <c r="N36"/>
      <c r="O36"/>
      <c r="P36"/>
      <c r="Q36"/>
      <c r="R36"/>
      <c r="S36"/>
      <c r="T36"/>
      <c r="U36"/>
      <c r="V36"/>
    </row>
    <row r="37" spans="1:22">
      <c r="A37" s="15" t="s">
        <v>201</v>
      </c>
      <c r="B37" s="15">
        <v>950</v>
      </c>
      <c r="D37" s="15">
        <v>950</v>
      </c>
      <c r="E37"/>
      <c r="F37"/>
      <c r="G37"/>
      <c r="H37"/>
      <c r="I37"/>
      <c r="J37"/>
      <c r="K37"/>
      <c r="L37"/>
      <c r="M37"/>
      <c r="N37"/>
      <c r="O37"/>
      <c r="P37"/>
      <c r="Q37"/>
      <c r="R37"/>
      <c r="S37"/>
      <c r="T37"/>
      <c r="U37"/>
      <c r="V37"/>
    </row>
    <row r="38" spans="1:22">
      <c r="A38" s="15" t="s">
        <v>372</v>
      </c>
      <c r="B38" s="15">
        <v>12250</v>
      </c>
      <c r="C38" s="15">
        <v>6600</v>
      </c>
      <c r="D38" s="15">
        <v>18850</v>
      </c>
      <c r="E38"/>
      <c r="F38"/>
      <c r="G38"/>
      <c r="H38"/>
      <c r="I38"/>
      <c r="J38"/>
      <c r="K38"/>
      <c r="L38"/>
      <c r="M38"/>
      <c r="N38"/>
      <c r="O38"/>
      <c r="P38"/>
    </row>
    <row r="39" spans="1:22">
      <c r="A39"/>
      <c r="B39"/>
      <c r="C39"/>
      <c r="D39"/>
      <c r="E39"/>
      <c r="F39"/>
      <c r="G39"/>
      <c r="H39"/>
      <c r="I39"/>
      <c r="J39"/>
      <c r="K39"/>
      <c r="L39"/>
      <c r="M39"/>
      <c r="N39"/>
      <c r="O39"/>
      <c r="P39"/>
    </row>
    <row r="40" spans="1:22">
      <c r="A40"/>
      <c r="B40"/>
      <c r="C40"/>
      <c r="D40"/>
      <c r="E40"/>
      <c r="F40"/>
      <c r="G40"/>
      <c r="H40"/>
      <c r="I40"/>
      <c r="J40"/>
      <c r="K40"/>
      <c r="L40"/>
      <c r="M40"/>
      <c r="N40"/>
      <c r="O40"/>
      <c r="P40"/>
    </row>
    <row r="41" spans="1:22">
      <c r="A41"/>
      <c r="B41"/>
      <c r="C41"/>
      <c r="D41"/>
      <c r="E41"/>
      <c r="F41"/>
      <c r="G41"/>
      <c r="H41"/>
      <c r="I41"/>
      <c r="J41"/>
      <c r="K41"/>
      <c r="L41"/>
      <c r="M41"/>
      <c r="N41"/>
      <c r="O41"/>
      <c r="P41"/>
    </row>
    <row r="42" spans="1:22">
      <c r="A42"/>
      <c r="B42"/>
      <c r="C42"/>
      <c r="D42"/>
      <c r="E42"/>
      <c r="F42"/>
      <c r="G42"/>
      <c r="H42"/>
      <c r="I42"/>
      <c r="J42"/>
      <c r="K42"/>
      <c r="L42"/>
      <c r="M42"/>
      <c r="N42"/>
      <c r="O42"/>
      <c r="P42"/>
    </row>
    <row r="43" spans="1:22">
      <c r="A43"/>
      <c r="B43"/>
      <c r="C43"/>
      <c r="D43"/>
      <c r="E43"/>
      <c r="F43"/>
      <c r="G43"/>
      <c r="H43"/>
      <c r="I43"/>
      <c r="J43"/>
      <c r="K43"/>
      <c r="L43"/>
      <c r="M43"/>
      <c r="N43"/>
      <c r="O43"/>
      <c r="P43"/>
    </row>
    <row r="44" spans="1:22">
      <c r="A44"/>
      <c r="B44"/>
      <c r="C44"/>
      <c r="D44"/>
      <c r="E44"/>
      <c r="F44"/>
      <c r="G44"/>
      <c r="H44"/>
      <c r="I44"/>
      <c r="J44"/>
      <c r="K44"/>
      <c r="L44"/>
      <c r="M44"/>
      <c r="N44"/>
      <c r="O44"/>
      <c r="P44"/>
    </row>
    <row r="45" spans="1:22">
      <c r="A45"/>
      <c r="B45"/>
      <c r="C45"/>
      <c r="D45"/>
      <c r="E45"/>
      <c r="F45"/>
      <c r="G45"/>
      <c r="H45"/>
      <c r="I45"/>
      <c r="J45"/>
      <c r="K45"/>
      <c r="L45"/>
      <c r="M45"/>
      <c r="N45"/>
      <c r="O45"/>
      <c r="P45"/>
    </row>
    <row r="46" spans="1:22">
      <c r="A46"/>
      <c r="B46"/>
      <c r="C46"/>
      <c r="D46"/>
      <c r="E46"/>
      <c r="F46"/>
      <c r="G46"/>
      <c r="H46"/>
      <c r="I46"/>
      <c r="J46"/>
      <c r="K46"/>
      <c r="L46"/>
      <c r="M46"/>
      <c r="N46"/>
      <c r="O46"/>
      <c r="P46"/>
    </row>
    <row r="47" spans="1:22">
      <c r="A47"/>
      <c r="B47"/>
      <c r="C47"/>
      <c r="D47"/>
      <c r="E47"/>
      <c r="F47"/>
      <c r="G47"/>
      <c r="H47"/>
      <c r="I47"/>
      <c r="J47"/>
      <c r="K47"/>
      <c r="L47"/>
      <c r="M47"/>
      <c r="N47"/>
      <c r="O47"/>
      <c r="P47"/>
    </row>
    <row r="48" spans="1:22">
      <c r="A48"/>
      <c r="B48"/>
      <c r="C48"/>
      <c r="D48"/>
      <c r="E48"/>
      <c r="F48"/>
      <c r="G48"/>
      <c r="H48"/>
      <c r="I48"/>
      <c r="J48"/>
      <c r="K48"/>
      <c r="L48"/>
      <c r="M48"/>
      <c r="N48"/>
      <c r="O48"/>
      <c r="P48"/>
    </row>
    <row r="49" spans="1:16">
      <c r="A49"/>
      <c r="B49"/>
      <c r="C49"/>
      <c r="D49"/>
      <c r="E49"/>
      <c r="F49"/>
      <c r="G49"/>
      <c r="H49"/>
      <c r="I49"/>
      <c r="J49"/>
      <c r="K49"/>
      <c r="L49"/>
      <c r="M49"/>
      <c r="N49"/>
      <c r="O49"/>
      <c r="P49"/>
    </row>
    <row r="50" spans="1:16">
      <c r="A50"/>
      <c r="B50"/>
      <c r="C50"/>
      <c r="D50"/>
      <c r="E50"/>
      <c r="F50"/>
      <c r="G50"/>
      <c r="H50"/>
      <c r="I50"/>
      <c r="J50"/>
      <c r="K50"/>
      <c r="L50"/>
      <c r="M50"/>
      <c r="N50"/>
      <c r="O50"/>
      <c r="P50"/>
    </row>
    <row r="51" spans="1:16">
      <c r="A51"/>
      <c r="B51"/>
      <c r="C51"/>
      <c r="D51"/>
      <c r="E51"/>
      <c r="F51"/>
      <c r="G51"/>
      <c r="H51"/>
      <c r="I51"/>
      <c r="J51"/>
      <c r="K51"/>
      <c r="L51"/>
      <c r="M51"/>
      <c r="N51"/>
      <c r="O51"/>
      <c r="P51"/>
    </row>
    <row r="52" spans="1:16">
      <c r="A52"/>
      <c r="B52"/>
      <c r="C52"/>
      <c r="D52"/>
      <c r="E52"/>
      <c r="F52"/>
      <c r="G52"/>
      <c r="H52"/>
      <c r="I52"/>
      <c r="J52"/>
      <c r="K52"/>
      <c r="L52"/>
      <c r="M52"/>
      <c r="N52"/>
      <c r="O52"/>
      <c r="P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Home Page</vt:lpstr>
      <vt:lpstr>Dashboard_1</vt:lpstr>
      <vt:lpstr>Dashboard_2</vt:lpstr>
      <vt:lpstr>Dashboard_3</vt:lpstr>
      <vt:lpstr>Graph Visualization</vt:lpstr>
      <vt:lpstr>All Names</vt:lpstr>
      <vt:lpstr>Regular Fees </vt:lpstr>
      <vt:lpstr>Montly Fees Received</vt:lpstr>
      <vt:lpstr>Yearly Fees</vt:lpstr>
      <vt:lpstr>Maths Test</vt:lpstr>
      <vt:lpstr>Maths Test Summary </vt:lpstr>
      <vt:lpstr>10th std syllabus</vt:lpstr>
      <vt:lpstr>Time Table </vt:lpstr>
      <vt:lpstr>All_Pivot_Table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 tech</dc:creator>
  <cp:lastModifiedBy>New tech</cp:lastModifiedBy>
  <cp:lastPrinted>2026-08-03T08:15:26Z</cp:lastPrinted>
  <dcterms:created xsi:type="dcterms:W3CDTF">2026-04-21T07:32:08Z</dcterms:created>
  <dcterms:modified xsi:type="dcterms:W3CDTF">2026-08-18T10:40:41Z</dcterms:modified>
</cp:coreProperties>
</file>